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Entries" sheetId="2" state="visible" r:id="rId2"/>
    <sheet xmlns:r="http://schemas.openxmlformats.org/officeDocument/2006/relationships" name="Import" sheetId="3" state="visible" r:id="rId3"/>
    <sheet xmlns:r="http://schemas.openxmlformats.org/officeDocument/2006/relationships" name="Text Output" sheetId="4" state="visible" r:id="rId4"/>
    <sheet xmlns:r="http://schemas.openxmlformats.org/officeDocument/2006/relationships" name="Config" sheetId="5" state="visible" r:id="rId5"/>
    <sheet xmlns:r="http://schemas.openxmlformats.org/officeDocument/2006/relationships" name="Log" sheetId="6" state="visible" r:id="rId6"/>
    <sheet xmlns:r="http://schemas.openxmlformats.org/officeDocument/2006/relationships" name="Layout" sheetId="7" state="visible" r:id="rId7"/>
    <sheet xmlns:r="http://schemas.openxmlformats.org/officeDocument/2006/relationships" name="Setup" sheetId="8" state="visible" r:id="rId8"/>
  </sheets>
  <definedNames>
    <definedName name="ttUseToday">Dashboard!$C$6</definedName>
    <definedName name="ttChosenDate">Dashboard!$C$7</definedName>
    <definedName name="ttValueDate">Dashboard!$C$8</definedName>
    <definedName name="ttFileDate">Dashboard!$C$9</definedName>
    <definedName name="ttOutputFolder">Dashboard!$C$20</definedName>
    <definedName name="ttStatus">Dashboard!$B$25</definedName>
    <definedName name="ttAmountUnit">Config!$C$5</definedName>
    <definedName name="ttFileNamePattern">Config!$C$6</definedName>
    <definedName name="ttFileDateOffset">Config!$C$7</definedName>
    <definedName name="ttEnforceBalance">Config!$C$8</definedName>
    <definedName name="ttTrailingNewline">Config!$C$9</definedName>
    <definedName name="ttInputFolder">Config!$C$10</definedName>
    <definedName name="ttInputPattern">Config!$C$11</definedName>
    <definedName name="ttImportSetsDate">Config!$C$12</definedName>
    <definedName name="ttLastImport">Import!$C$6</definedName>
  </definedNames>
  <calcPr calcId="124519" fullCalcOnLoad="1"/>
</workbook>
</file>

<file path=xl/styles.xml><?xml version="1.0" encoding="utf-8"?>
<styleSheet xmlns="http://schemas.openxmlformats.org/spreadsheetml/2006/main">
  <numFmts count="2">
    <numFmt numFmtId="164" formatCode="dd-mmm-yyyy"/>
    <numFmt numFmtId="165" formatCode="dd-mmm-yyyy  (ddd)"/>
  </numFmts>
  <fonts count="22">
    <font>
      <name val="Calibri"/>
      <family val="2"/>
      <color theme="1"/>
      <sz val="11"/>
      <scheme val="minor"/>
    </font>
    <font>
      <name val="Calibri"/>
      <b val="1"/>
      <color rgb="00FFFFFF"/>
      <sz val="18"/>
    </font>
    <font>
      <name val="Calibri"/>
      <i val="1"/>
      <color rgb="00D6E0EA"/>
      <sz val="10"/>
    </font>
    <font>
      <name val="Calibri"/>
      <b val="1"/>
      <color rgb="008A6100"/>
      <sz val="10"/>
    </font>
    <font>
      <name val="Calibri"/>
      <b val="1"/>
      <color rgb="001F3355"/>
      <sz val="11"/>
    </font>
    <font>
      <name val="Calibri"/>
      <color rgb="001F2937"/>
      <sz val="11"/>
    </font>
    <font>
      <name val="Calibri"/>
      <b val="1"/>
      <color rgb="001F2937"/>
      <sz val="11"/>
    </font>
    <font>
      <name val="Calibri"/>
      <b val="1"/>
      <color rgb="001F3355"/>
      <sz val="12"/>
    </font>
    <font>
      <name val="Calibri"/>
      <i val="1"/>
      <color rgb="006B7280"/>
      <sz val="9"/>
    </font>
    <font>
      <name val="Calibri"/>
      <b val="1"/>
      <color rgb="00006E3C"/>
      <sz val="11"/>
    </font>
    <font>
      <name val="Calibri"/>
      <b val="1"/>
      <sz val="11"/>
    </font>
    <font>
      <b val="1"/>
      <sz val="10"/>
    </font>
    <font>
      <name val="Calibri"/>
      <b val="1"/>
      <color rgb="001F3355"/>
      <sz val="10"/>
    </font>
    <font>
      <name val="Calibri"/>
      <sz val="10"/>
    </font>
    <font>
      <name val="Calibri"/>
      <color rgb="009AA5B1"/>
      <sz val="9"/>
    </font>
    <font>
      <name val="Calibri"/>
      <color rgb="001F2937"/>
      <sz val="10"/>
    </font>
    <font>
      <name val="Calibri"/>
      <i val="1"/>
      <color rgb="006B7280"/>
      <sz val="10"/>
    </font>
    <font>
      <name val="Consolas"/>
      <sz val="10"/>
    </font>
    <font>
      <name val="Calibri"/>
      <color rgb="00C7CDD4"/>
      <sz val="8"/>
    </font>
    <font>
      <name val="Calibri"/>
      <b val="1"/>
      <color rgb="001F2937"/>
      <sz val="10"/>
    </font>
    <font>
      <name val="Calibri"/>
      <color rgb="006B7280"/>
      <sz val="9"/>
    </font>
    <font>
      <sz val="10"/>
    </font>
  </fonts>
  <fills count="9">
    <fill>
      <patternFill/>
    </fill>
    <fill>
      <patternFill patternType="gray125"/>
    </fill>
    <fill>
      <patternFill patternType="solid">
        <fgColor rgb="001F3355"/>
      </patternFill>
    </fill>
    <fill>
      <patternFill patternType="solid">
        <fgColor rgb="00FFF3CD"/>
      </patternFill>
    </fill>
    <fill>
      <patternFill patternType="solid">
        <fgColor rgb="00EEF2F7"/>
      </patternFill>
    </fill>
    <fill>
      <patternFill patternType="solid">
        <fgColor rgb="00FFF7DB"/>
      </patternFill>
    </fill>
    <fill>
      <patternFill patternType="solid">
        <fgColor rgb="00EDF2FA"/>
      </patternFill>
    </fill>
    <fill>
      <patternFill patternType="solid">
        <fgColor rgb="00D9E2EC"/>
      </patternFill>
    </fill>
    <fill>
      <patternFill patternType="solid">
        <fgColor rgb="00FFFFFF"/>
      </patternFill>
    </fill>
  </fills>
  <borders count="2">
    <border>
      <left/>
      <right/>
      <top/>
      <bottom/>
      <diagonal/>
    </border>
    <border>
      <left style="thin">
        <color rgb="00BFCBD9"/>
      </left>
      <right style="thin">
        <color rgb="00BFCBD9"/>
      </right>
      <top style="thin">
        <color rgb="00BFCBD9"/>
      </top>
      <bottom style="thin">
        <color rgb="00BFCBD9"/>
      </bottom>
    </border>
  </borders>
  <cellStyleXfs count="1">
    <xf numFmtId="0" fontId="0" fillId="0" borderId="0"/>
  </cellStyleXfs>
  <cellXfs count="48">
    <xf numFmtId="0" fontId="0" fillId="0" borderId="0" pivotButton="0" quotePrefix="0" xfId="0"/>
    <xf numFmtId="0" fontId="1" fillId="2" borderId="0" applyAlignment="1" pivotButton="0" quotePrefix="0" xfId="0">
      <alignment vertical="center"/>
    </xf>
    <xf numFmtId="0" fontId="0" fillId="2" borderId="0" pivotButton="0" quotePrefix="0" xfId="0"/>
    <xf numFmtId="0" fontId="2" fillId="2" borderId="0" pivotButton="0" quotePrefix="0" xfId="0"/>
    <xf numFmtId="0" fontId="3" fillId="3" borderId="0" applyAlignment="1" pivotButton="0" quotePrefix="0" xfId="0">
      <alignment vertical="center" indent="1"/>
    </xf>
    <xf numFmtId="0" fontId="4" fillId="4" borderId="0" pivotButton="0" quotePrefix="0" xfId="0"/>
    <xf numFmtId="0" fontId="0" fillId="4" borderId="0" pivotButton="0" quotePrefix="0" xfId="0"/>
    <xf numFmtId="0" fontId="5" fillId="0" borderId="0" pivotButton="0" quotePrefix="0" xfId="0"/>
    <xf numFmtId="0" fontId="6" fillId="5" borderId="1" pivotButton="0" quotePrefix="0" xfId="0"/>
    <xf numFmtId="164" fontId="6" fillId="5" borderId="1" pivotButton="0" quotePrefix="0" xfId="0"/>
    <xf numFmtId="165" fontId="7" fillId="6" borderId="1" pivotButton="0" quotePrefix="0" xfId="0"/>
    <xf numFmtId="164" fontId="6" fillId="0" borderId="1" pivotButton="0" quotePrefix="0" xfId="0"/>
    <xf numFmtId="0" fontId="8" fillId="0" borderId="0" applyAlignment="1" pivotButton="0" quotePrefix="0" xfId="0">
      <alignment vertical="top" wrapText="1"/>
    </xf>
    <xf numFmtId="0" fontId="6" fillId="0" borderId="1" pivotButton="0" quotePrefix="0" xfId="0"/>
    <xf numFmtId="4" fontId="6" fillId="0" borderId="1" pivotButton="0" quotePrefix="0" xfId="0"/>
    <xf numFmtId="0" fontId="6" fillId="5" borderId="1" applyAlignment="1" pivotButton="0" quotePrefix="0" xfId="0">
      <alignment vertical="center" indent="1"/>
    </xf>
    <xf numFmtId="0" fontId="4" fillId="0" borderId="0" pivotButton="0" quotePrefix="0" xfId="0"/>
    <xf numFmtId="0" fontId="9" fillId="0" borderId="0" applyAlignment="1" pivotButton="0" quotePrefix="0" xfId="0">
      <alignment vertical="center"/>
    </xf>
    <xf numFmtId="0" fontId="8" fillId="0" borderId="0" pivotButton="0" quotePrefix="0" xfId="0"/>
    <xf numFmtId="4" fontId="11" fillId="0" borderId="0" pivotButton="0" quotePrefix="0" xfId="0"/>
    <xf numFmtId="0" fontId="10" fillId="0" borderId="0" applyAlignment="1" pivotButton="0" quotePrefix="0" xfId="0">
      <alignment vertical="center"/>
    </xf>
    <xf numFmtId="0" fontId="12" fillId="7" borderId="1" applyAlignment="1" pivotButton="0" quotePrefix="0" xfId="0">
      <alignment horizontal="center" vertical="center" wrapText="1"/>
    </xf>
    <xf numFmtId="0" fontId="13" fillId="8" borderId="1" applyAlignment="1" pivotButton="0" quotePrefix="0" xfId="0">
      <alignment horizontal="center"/>
    </xf>
    <xf numFmtId="0" fontId="13" fillId="8" borderId="1" pivotButton="0" quotePrefix="0" xfId="0"/>
    <xf numFmtId="49" fontId="13" fillId="8" borderId="1" applyAlignment="1" pivotButton="0" quotePrefix="0" xfId="0">
      <alignment horizontal="left"/>
    </xf>
    <xf numFmtId="3" fontId="13" fillId="5" borderId="1" pivotButton="0" quotePrefix="0" xfId="0"/>
    <xf numFmtId="4" fontId="12" fillId="8" borderId="1" pivotButton="0" quotePrefix="0" xfId="0"/>
    <xf numFmtId="0" fontId="13" fillId="8" borderId="1" applyAlignment="1" pivotButton="0" quotePrefix="0" xfId="0">
      <alignment vertical="center"/>
    </xf>
    <xf numFmtId="0" fontId="14" fillId="0" borderId="0" applyAlignment="1" pivotButton="0" quotePrefix="0" xfId="0">
      <alignment horizontal="center"/>
    </xf>
    <xf numFmtId="0" fontId="12" fillId="0" borderId="0" pivotButton="0" quotePrefix="0" xfId="0"/>
    <xf numFmtId="0" fontId="15" fillId="0" borderId="0" pivotButton="0" quotePrefix="0" xfId="0"/>
    <xf numFmtId="0" fontId="16" fillId="0" borderId="0" pivotButton="0" quotePrefix="0" xfId="0"/>
    <xf numFmtId="0" fontId="13" fillId="0" borderId="1" pivotButton="0" quotePrefix="0" xfId="0"/>
    <xf numFmtId="49" fontId="17" fillId="5" borderId="1" pivotButton="0" quotePrefix="0" xfId="0"/>
    <xf numFmtId="164" fontId="13" fillId="0" borderId="1" pivotButton="0" quotePrefix="0" xfId="0"/>
    <xf numFmtId="3" fontId="13" fillId="0" borderId="1" pivotButton="0" quotePrefix="0" xfId="0"/>
    <xf numFmtId="0" fontId="13" fillId="0" borderId="1" applyAlignment="1" pivotButton="0" quotePrefix="0" xfId="0">
      <alignment horizontal="center"/>
    </xf>
    <xf numFmtId="4" fontId="12" fillId="0" borderId="1" pivotButton="0" quotePrefix="0" xfId="0"/>
    <xf numFmtId="0" fontId="18" fillId="0" borderId="0" pivotButton="0" quotePrefix="0" xfId="0"/>
    <xf numFmtId="0" fontId="19" fillId="0" borderId="0" pivotButton="0" quotePrefix="0" xfId="0"/>
    <xf numFmtId="0" fontId="12" fillId="7" borderId="1" pivotButton="0" quotePrefix="0" xfId="0"/>
    <xf numFmtId="0" fontId="17" fillId="0" borderId="0" pivotButton="0" quotePrefix="0" xfId="0"/>
    <xf numFmtId="0" fontId="20" fillId="0" borderId="0" applyAlignment="1" pivotButton="0" quotePrefix="0" xfId="0">
      <alignment horizontal="center"/>
    </xf>
    <xf numFmtId="0" fontId="14" fillId="0" borderId="0" pivotButton="0" quotePrefix="0" xfId="0"/>
    <xf numFmtId="0" fontId="5" fillId="0" borderId="1" pivotButton="0" quotePrefix="0" xfId="0"/>
    <xf numFmtId="0" fontId="21" fillId="0" borderId="1" pivotButton="0" quotePrefix="0" xfId="0"/>
    <xf numFmtId="0" fontId="21" fillId="0" borderId="1"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dxfs count="2">
    <dxf>
      <font>
        <b val="1"/>
        <color rgb="009C0006"/>
      </font>
      <fill>
        <patternFill patternType="solid">
          <fgColor rgb="00FFC7CE"/>
        </patternFill>
      </fill>
    </dxf>
    <dxf>
      <font>
        <b val="1"/>
        <color rgb="00006100"/>
      </font>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Dashboard">
    <outlinePr summaryBelow="1" summaryRight="1"/>
    <pageSetUpPr/>
  </sheetPr>
  <dimension ref="A1:H27"/>
  <sheetViews>
    <sheetView showGridLines="0" workbookViewId="0">
      <selection activeCell="A1" sqref="A1"/>
    </sheetView>
  </sheetViews>
  <sheetFormatPr baseColWidth="8" defaultRowHeight="15"/>
  <cols>
    <col width="2.5" customWidth="1" min="1" max="1"/>
    <col width="34" customWidth="1" min="2" max="2"/>
    <col width="46" customWidth="1" min="3" max="3"/>
    <col width="2.5" customWidth="1" min="4" max="4"/>
    <col width="2.5" customWidth="1" min="5" max="5"/>
    <col width="2.5" customWidth="1" min="6" max="6"/>
    <col width="2.5" customWidth="1" min="7" max="7"/>
    <col width="30" customWidth="1" min="8" max="8"/>
  </cols>
  <sheetData>
    <row r="1" ht="30" customHeight="1">
      <c r="A1" s="1" t="inlineStr">
        <is>
          <t xml:space="preserve">   TTUM GENERATOR</t>
        </is>
      </c>
      <c r="B1" s="2" t="n"/>
      <c r="C1" s="2" t="n"/>
      <c r="D1" s="2" t="n"/>
      <c r="E1" s="2" t="n"/>
      <c r="F1" s="2" t="n"/>
      <c r="G1" s="2" t="n"/>
      <c r="H1" s="2" t="n"/>
    </row>
    <row r="2" ht="16" customHeight="1">
      <c r="A2" s="3" t="inlineStr">
        <is>
          <t xml:space="preserve">   Choose the date, get the day's amounts in, then click Generate.</t>
        </is>
      </c>
      <c r="B2" s="2" t="n"/>
      <c r="C2" s="2" t="n"/>
      <c r="D2" s="2" t="n"/>
      <c r="E2" s="2" t="n"/>
      <c r="F2" s="2" t="n"/>
      <c r="G2" s="2" t="n"/>
      <c r="H2" s="2" t="n"/>
    </row>
    <row r="3" ht="20" customHeight="1">
      <c r="B3" s="4" t="inlineStr">
        <is>
          <t>Buttons doing nothing?  Close Excel, right-click this file in File Explorer, Properties, tick Unblock, reopen.  Full list on the Setup sheet.</t>
        </is>
      </c>
    </row>
    <row r="5">
      <c r="B5" s="5" t="inlineStr">
        <is>
          <t>STEP 1   Which day is this file for?</t>
        </is>
      </c>
      <c r="C5" s="6" t="n"/>
    </row>
    <row r="6">
      <c r="B6" s="7" t="inlineStr">
        <is>
          <t>Use today's date?</t>
        </is>
      </c>
      <c r="C6" s="8" t="inlineStr">
        <is>
          <t>Yes</t>
        </is>
      </c>
    </row>
    <row r="7">
      <c r="B7" s="7" t="inlineStr">
        <is>
          <t>...or generate for this date</t>
        </is>
      </c>
      <c r="C7" s="9" t="n"/>
    </row>
    <row r="8" ht="20" customHeight="1">
      <c r="B8" s="7" t="inlineStr">
        <is>
          <t>Value date used in the records</t>
        </is>
      </c>
      <c r="C8" s="10">
        <f>IF(ttUseToday="Yes",TODAY(),IF(ttChosenDate="","",ttChosenDate))</f>
        <v/>
      </c>
    </row>
    <row r="9">
      <c r="B9" s="7" t="inlineStr">
        <is>
          <t>File-name date  (offset is set on Config)</t>
        </is>
      </c>
      <c r="C9" s="11">
        <f>ttValueDate+ttFileDateOffset</f>
        <v/>
      </c>
    </row>
    <row r="10" ht="40" customHeight="1">
      <c r="B10" s="12" t="inlineStr">
        <is>
          <t>Leave the first box on Yes for today's file. For any other day set it to No and type the date below it - or just click Generate for Another Date and type the date when asked. Importing a settlement file also sets the date from the file itself.</t>
        </is>
      </c>
    </row>
    <row r="12">
      <c r="B12" s="5" t="inlineStr">
        <is>
          <t>STEP 2   Enter the amounts, or import them</t>
        </is>
      </c>
      <c r="C12" s="6" t="n"/>
    </row>
    <row r="13">
      <c r="B13" s="7" t="inlineStr">
        <is>
          <t>Rows included</t>
        </is>
      </c>
      <c r="C13" s="13">
        <f>COUNTIF(Entries!$A$5:$A$104,"Yes")</f>
        <v/>
      </c>
    </row>
    <row r="14">
      <c r="B14" s="7" t="inlineStr">
        <is>
          <t>Total debit</t>
        </is>
      </c>
      <c r="C14" s="14">
        <f>Entries!$L$1</f>
        <v/>
      </c>
    </row>
    <row r="15">
      <c r="B15" s="7" t="inlineStr">
        <is>
          <t>Total credit</t>
        </is>
      </c>
      <c r="C15" s="14">
        <f>Entries!$L$2</f>
        <v/>
      </c>
    </row>
    <row r="16">
      <c r="B16" s="7" t="inlineStr">
        <is>
          <t>Difference  (must be 0.00)</t>
        </is>
      </c>
      <c r="C16" s="14">
        <f>Entries!$L$3</f>
        <v/>
      </c>
    </row>
    <row r="17" ht="26" customHeight="1">
      <c r="B17" s="12" t="inlineStr">
        <is>
          <t>Type the amounts on the Entries sheet, or click Import Latest Input File to read them out of the settlement file. The input folder is set on the Config sheet.</t>
        </is>
      </c>
    </row>
    <row r="19">
      <c r="B19" s="5" t="inlineStr">
        <is>
          <t>STEP 3   Choose where the file goes, then generate</t>
        </is>
      </c>
      <c r="C19" s="6" t="n"/>
    </row>
    <row r="20" ht="20" customHeight="1">
      <c r="B20" s="7" t="inlineStr">
        <is>
          <t>Output folder</t>
        </is>
      </c>
      <c r="C20" s="15" t="n"/>
    </row>
    <row r="21" ht="26" customHeight="1">
      <c r="B21" s="12" t="inlineStr">
        <is>
          <t>Type or paste a full folder path here, for example  D:\TTUM\Daily  -  or click Choose Output Folder. Left blank, files go to a TTUM_Output folder beside this workbook.</t>
        </is>
      </c>
    </row>
    <row r="22">
      <c r="B22" s="7" t="inlineStr">
        <is>
          <t>File name</t>
        </is>
      </c>
      <c r="C22" s="13">
        <f>SUBSTITUTE(SUBSTITUTE(SUBSTITUTE(ttFileNamePattern,"{DDMMYYYY}",TEXT(ttFileDate,"ddmmyyyy")),"{DDMMYY}",TEXT(ttFileDate,"ddmmyy")),"{YYYY}",TEXT(ttFileDate,"yyyy"))</f>
        <v/>
      </c>
    </row>
    <row r="24">
      <c r="B24" s="16" t="inlineStr">
        <is>
          <t>Status</t>
        </is>
      </c>
    </row>
    <row r="25" ht="22" customHeight="1">
      <c r="B25" s="17" t="inlineStr">
        <is>
          <t>Ready.</t>
        </is>
      </c>
    </row>
    <row r="27">
      <c r="B27" s="18" t="inlineStr">
        <is>
          <t>Every button is also on the Alt+F8 macro list, and the Text Output sheet builds the same file with no macros at all.</t>
        </is>
      </c>
    </row>
  </sheetData>
  <mergeCells count="8">
    <mergeCell ref="A1:H1"/>
    <mergeCell ref="B21:C21"/>
    <mergeCell ref="B27:H27"/>
    <mergeCell ref="A2:H2"/>
    <mergeCell ref="B10:C10"/>
    <mergeCell ref="B25:H25"/>
    <mergeCell ref="B17:C17"/>
    <mergeCell ref="B3:H3"/>
  </mergeCells>
  <conditionalFormatting sqref="C16">
    <cfRule type="cellIs" priority="1" operator="notEqual" dxfId="0">
      <formula>0</formula>
    </cfRule>
    <cfRule type="cellIs" priority="2" operator="equal" dxfId="1">
      <formula>0</formula>
    </cfRule>
  </conditionalFormatting>
  <dataValidations count="2">
    <dataValidation sqref="C6" showDropDown="0" showInputMessage="0" showErrorMessage="1" allowBlank="0" errorTitle="Use today's date?" error="Yes builds today's file. No uses the date in the box below." type="list">
      <formula1>"Yes,No"</formula1>
    </dataValidation>
    <dataValidation sqref="C7" showDropDown="0" showInputMessage="0" showErrorMessage="1" allowBlank="1" errorTitle="Value date" error="Enter the date the records should carry, e.g. 03-Sep-2026." type="date" operator="between">
      <formula1>DATE(2000,1,1)</formula1>
      <formula2>DATE(2100,12,31)</formula2>
    </dataValidation>
  </dataValidations>
  <pageMargins left="0.75" right="0.75" top="1" bottom="1" header="0.5" footer="0.5"/>
</worksheet>
</file>

<file path=xl/worksheets/sheet2.xml><?xml version="1.0" encoding="utf-8"?>
<worksheet xmlns="http://schemas.openxmlformats.org/spreadsheetml/2006/main">
  <sheetPr codeName="shEntries">
    <outlinePr summaryBelow="1" summaryRight="1"/>
    <pageSetUpPr/>
  </sheetPr>
  <dimension ref="A1:L107"/>
  <sheetViews>
    <sheetView showGridLines="0" workbookViewId="0">
      <pane ySplit="4" topLeftCell="A5" activePane="bottomLeft" state="frozen"/>
      <selection pane="bottomLeft" activeCell="A1" sqref="A1"/>
    </sheetView>
  </sheetViews>
  <sheetFormatPr baseColWidth="8" defaultRowHeight="15"/>
  <cols>
    <col width="10" customWidth="1" min="1" max="1"/>
    <col width="28" customWidth="1" min="2" max="2"/>
    <col width="18" customWidth="1" min="3" max="3"/>
    <col width="8" customWidth="1" min="4" max="4"/>
    <col width="20" customWidth="1" min="5" max="5"/>
    <col width="42" customWidth="1" min="6" max="6"/>
    <col width="16" customWidth="1" min="7" max="7"/>
    <col width="26" customWidth="1" min="8" max="8"/>
    <col width="6" customWidth="1" min="9" max="9"/>
    <col width="2.5" customWidth="1" min="10" max="10"/>
    <col width="14" customWidth="1" min="11" max="11"/>
    <col width="14" customWidth="1" min="12" max="12"/>
  </cols>
  <sheetData>
    <row r="1" ht="30" customHeight="1">
      <c r="A1" s="1" t="inlineStr">
        <is>
          <t xml:space="preserve">   DAILY TTUM ENTRIES</t>
        </is>
      </c>
      <c r="B1" s="2" t="n"/>
      <c r="C1" s="2" t="n"/>
      <c r="D1" s="2" t="n"/>
      <c r="E1" s="2" t="n"/>
      <c r="F1" s="2" t="n"/>
      <c r="G1" s="2" t="n"/>
      <c r="K1" s="18" t="inlineStr">
        <is>
          <t>Total debit</t>
        </is>
      </c>
      <c r="L1" s="19">
        <f>SUMIFS($E$5:$E$104,$D$5:$D$104,"D",$A$5:$A$104,"Yes")/IF(ttAmountUnit="Paise",100,1)</f>
        <v/>
      </c>
    </row>
    <row r="2" ht="16" customHeight="1">
      <c r="A2" s="3" t="inlineStr">
        <is>
          <t xml:space="preserve">   Type today's amount and Dr/Cr against each line. Blank rows are ignored.</t>
        </is>
      </c>
      <c r="B2" s="2" t="n"/>
      <c r="C2" s="2" t="n"/>
      <c r="D2" s="2" t="n"/>
      <c r="E2" s="2" t="n"/>
      <c r="F2" s="2" t="n"/>
      <c r="G2" s="2" t="n"/>
      <c r="K2" s="18" t="inlineStr">
        <is>
          <t>Total credit</t>
        </is>
      </c>
      <c r="L2" s="19">
        <f>SUMIFS($E$5:$E$104,$D$5:$D$104,"C",$A$5:$A$104,"Yes")/IF(ttAmountUnit="Paise",100,1)</f>
        <v/>
      </c>
    </row>
    <row r="3" ht="20" customHeight="1">
      <c r="A3" s="20">
        <f>"Total debit  "&amp;TEXT($L$1,"#,##0.00")&amp;"      Total credit  "&amp;TEXT($L$2,"#,##0.00")&amp;"      Difference  "&amp;TEXT($L$3,"#,##0.00")&amp;IF($L$3=0,"    (balanced)","    &lt;&lt;&lt; THESE MUST MATCH")</f>
        <v/>
      </c>
      <c r="K3" s="18" t="inlineStr">
        <is>
          <t>Difference</t>
        </is>
      </c>
      <c r="L3" s="19">
        <f>$L$1-$L$2</f>
        <v/>
      </c>
    </row>
    <row r="4" ht="28" customHeight="1">
      <c r="A4" s="21" t="inlineStr">
        <is>
          <t>Include</t>
        </is>
      </c>
      <c r="B4" s="21" t="inlineStr">
        <is>
          <t>Description</t>
        </is>
      </c>
      <c r="C4" s="21" t="inlineStr">
        <is>
          <t>Account Number</t>
        </is>
      </c>
      <c r="D4" s="21" t="inlineStr">
        <is>
          <t>Dr/Cr</t>
        </is>
      </c>
      <c r="E4" s="21" t="inlineStr">
        <is>
          <t>Amount as keyed</t>
        </is>
      </c>
      <c r="F4" s="21" t="inlineStr">
        <is>
          <t>Narration template</t>
        </is>
      </c>
      <c r="G4" s="21" t="inlineStr">
        <is>
          <t>Reads as (INR)</t>
        </is>
      </c>
      <c r="H4" s="21" t="inlineStr">
        <is>
          <t>Import match text</t>
        </is>
      </c>
      <c r="I4" s="21" t="inlineStr">
        <is>
          <t>Seq</t>
        </is>
      </c>
    </row>
    <row r="5">
      <c r="A5" s="22" t="inlineStr">
        <is>
          <t>Yes</t>
        </is>
      </c>
      <c r="B5" s="23" t="inlineStr">
        <is>
          <t>VI settlement</t>
        </is>
      </c>
      <c r="C5" s="24" t="inlineStr">
        <is>
          <t>00993562511731</t>
        </is>
      </c>
      <c r="D5" s="22" t="inlineStr">
        <is>
          <t>D</t>
        </is>
      </c>
      <c r="E5" s="25" t="n"/>
      <c r="F5" s="23" t="inlineStr">
        <is>
          <t>PROPELG VI settlement {DDMMYY}</t>
        </is>
      </c>
      <c r="G5" s="26">
        <f>IF($E5="","",$E5/IF(ttAmountUnit="Paise",100,1))</f>
        <v/>
      </c>
      <c r="H5" s="27" t="inlineStr">
        <is>
          <t>VI settlement</t>
        </is>
      </c>
      <c r="I5" s="28">
        <f>IF(AND($A5="Yes",$E5&lt;&gt;""),SUMPRODUCT(($A$5:$A5="Yes")*($E$5:$E5&lt;&gt;"")),"")</f>
        <v/>
      </c>
    </row>
    <row r="6">
      <c r="A6" s="22" t="inlineStr">
        <is>
          <t>Yes</t>
        </is>
      </c>
      <c r="B6" s="23" t="inlineStr">
        <is>
          <t>MC settlement</t>
        </is>
      </c>
      <c r="C6" s="24" t="inlineStr">
        <is>
          <t>00993562511732</t>
        </is>
      </c>
      <c r="D6" s="22" t="inlineStr">
        <is>
          <t>D</t>
        </is>
      </c>
      <c r="E6" s="25" t="n"/>
      <c r="F6" s="23" t="inlineStr">
        <is>
          <t>PROPELG MC settlement {DDMMYY}</t>
        </is>
      </c>
      <c r="G6" s="26">
        <f>IF($E6="","",$E6/IF(ttAmountUnit="Paise",100,1))</f>
        <v/>
      </c>
      <c r="H6" s="27" t="inlineStr">
        <is>
          <t>MC settlement</t>
        </is>
      </c>
      <c r="I6" s="28">
        <f>IF(AND($A6="Yes",$E6&lt;&gt;""),SUMPRODUCT(($A$5:$A6="Yes")*($E$5:$E6&lt;&gt;"")),"")</f>
        <v/>
      </c>
    </row>
    <row r="7">
      <c r="A7" s="22" t="inlineStr">
        <is>
          <t>Yes</t>
        </is>
      </c>
      <c r="B7" s="23" t="inlineStr">
        <is>
          <t>MC commission received</t>
        </is>
      </c>
      <c r="C7" s="24" t="inlineStr">
        <is>
          <t>00993564610119</t>
        </is>
      </c>
      <c r="D7" s="22" t="inlineStr">
        <is>
          <t>C</t>
        </is>
      </c>
      <c r="E7" s="25" t="n"/>
      <c r="F7" s="23" t="inlineStr">
        <is>
          <t>PROPELG MC comm recd {DDMMYY}</t>
        </is>
      </c>
      <c r="G7" s="26">
        <f>IF($E7="","",$E7/IF(ttAmountUnit="Paise",100,1))</f>
        <v/>
      </c>
      <c r="H7" s="27" t="inlineStr">
        <is>
          <t>MC comm recd</t>
        </is>
      </c>
      <c r="I7" s="28">
        <f>IF(AND($A7="Yes",$E7&lt;&gt;""),SUMPRODUCT(($A$5:$A7="Yes")*($E$5:$E7&lt;&gt;"")),"")</f>
        <v/>
      </c>
    </row>
    <row r="8">
      <c r="A8" s="22" t="inlineStr">
        <is>
          <t>Yes</t>
        </is>
      </c>
      <c r="B8" s="23" t="inlineStr">
        <is>
          <t>VI commission received</t>
        </is>
      </c>
      <c r="C8" s="24" t="inlineStr">
        <is>
          <t>00993564610122</t>
        </is>
      </c>
      <c r="D8" s="22" t="inlineStr">
        <is>
          <t>C</t>
        </is>
      </c>
      <c r="E8" s="25" t="n"/>
      <c r="F8" s="23" t="inlineStr">
        <is>
          <t>PROPELG VI comm recd {DDMMYY}</t>
        </is>
      </c>
      <c r="G8" s="26">
        <f>IF($E8="","",$E8/IF(ttAmountUnit="Paise",100,1))</f>
        <v/>
      </c>
      <c r="H8" s="27" t="inlineStr">
        <is>
          <t>VI comm recd</t>
        </is>
      </c>
      <c r="I8" s="28">
        <f>IF(AND($A8="Yes",$E8&lt;&gt;""),SUMPRODUCT(($A$5:$A8="Yes")*($E$5:$E8&lt;&gt;"")),"")</f>
        <v/>
      </c>
    </row>
    <row r="9">
      <c r="A9" s="22" t="inlineStr">
        <is>
          <t>Yes</t>
        </is>
      </c>
      <c r="B9" s="23" t="inlineStr">
        <is>
          <t>MC GST on commission</t>
        </is>
      </c>
      <c r="C9" s="24" t="inlineStr">
        <is>
          <t>00993564610119</t>
        </is>
      </c>
      <c r="D9" s="22" t="inlineStr">
        <is>
          <t>C</t>
        </is>
      </c>
      <c r="E9" s="25" t="n"/>
      <c r="F9" s="23" t="inlineStr">
        <is>
          <t>PROPELG MC GST comm recd {DDMMYY}</t>
        </is>
      </c>
      <c r="G9" s="26">
        <f>IF($E9="","",$E9/IF(ttAmountUnit="Paise",100,1))</f>
        <v/>
      </c>
      <c r="H9" s="27" t="inlineStr">
        <is>
          <t>MC GST comm recd</t>
        </is>
      </c>
      <c r="I9" s="28">
        <f>IF(AND($A9="Yes",$E9&lt;&gt;""),SUMPRODUCT(($A$5:$A9="Yes")*($E$5:$E9&lt;&gt;"")),"")</f>
        <v/>
      </c>
    </row>
    <row r="10">
      <c r="A10" s="22" t="inlineStr">
        <is>
          <t>Yes</t>
        </is>
      </c>
      <c r="B10" s="23" t="inlineStr">
        <is>
          <t>VI GST on commission</t>
        </is>
      </c>
      <c r="C10" s="24" t="inlineStr">
        <is>
          <t>00993564610122</t>
        </is>
      </c>
      <c r="D10" s="22" t="inlineStr">
        <is>
          <t>C</t>
        </is>
      </c>
      <c r="E10" s="25" t="n"/>
      <c r="F10" s="23" t="inlineStr">
        <is>
          <t>PROPELG VI GST comm recd {DDMMYY}</t>
        </is>
      </c>
      <c r="G10" s="26">
        <f>IF($E10="","",$E10/IF(ttAmountUnit="Paise",100,1))</f>
        <v/>
      </c>
      <c r="H10" s="27" t="inlineStr">
        <is>
          <t>VI GST comm recd</t>
        </is>
      </c>
      <c r="I10" s="28">
        <f>IF(AND($A10="Yes",$E10&lt;&gt;""),SUMPRODUCT(($A$5:$A10="Yes")*($E$5:$E10&lt;&gt;"")),"")</f>
        <v/>
      </c>
    </row>
    <row r="11">
      <c r="A11" s="22" t="inlineStr">
        <is>
          <t>Yes</t>
        </is>
      </c>
      <c r="B11" s="23" t="inlineStr">
        <is>
          <t>MC Non-GST commission</t>
        </is>
      </c>
      <c r="C11" s="24" t="inlineStr">
        <is>
          <t>00993564610119</t>
        </is>
      </c>
      <c r="D11" s="22" t="inlineStr">
        <is>
          <t>C</t>
        </is>
      </c>
      <c r="E11" s="25" t="n"/>
      <c r="F11" s="23" t="inlineStr">
        <is>
          <t>PROPELG MC Non GST comm recd {DDMMYY}</t>
        </is>
      </c>
      <c r="G11" s="26">
        <f>IF($E11="","",$E11/IF(ttAmountUnit="Paise",100,1))</f>
        <v/>
      </c>
      <c r="H11" s="27" t="inlineStr">
        <is>
          <t>MC Non GST comm recd</t>
        </is>
      </c>
      <c r="I11" s="28">
        <f>IF(AND($A11="Yes",$E11&lt;&gt;""),SUMPRODUCT(($A$5:$A11="Yes")*($E$5:$E11&lt;&gt;"")),"")</f>
        <v/>
      </c>
    </row>
    <row r="12">
      <c r="A12" s="22" t="inlineStr">
        <is>
          <t>Yes</t>
        </is>
      </c>
      <c r="B12" s="23" t="inlineStr">
        <is>
          <t>VI Non-GST commission</t>
        </is>
      </c>
      <c r="C12" s="24" t="inlineStr">
        <is>
          <t>00993564610122</t>
        </is>
      </c>
      <c r="D12" s="22" t="inlineStr">
        <is>
          <t>C</t>
        </is>
      </c>
      <c r="E12" s="25" t="n"/>
      <c r="F12" s="23" t="inlineStr">
        <is>
          <t>PROPELG VI Non GST comm recd {DDMMYY}</t>
        </is>
      </c>
      <c r="G12" s="26">
        <f>IF($E12="","",$E12/IF(ttAmountUnit="Paise",100,1))</f>
        <v/>
      </c>
      <c r="H12" s="27" t="inlineStr">
        <is>
          <t>VI Non GST comm recd</t>
        </is>
      </c>
      <c r="I12" s="28">
        <f>IF(AND($A12="Yes",$E12&lt;&gt;""),SUMPRODUCT(($A$5:$A12="Yes")*($E$5:$E12&lt;&gt;"")),"")</f>
        <v/>
      </c>
    </row>
    <row r="13">
      <c r="A13" s="22" t="inlineStr">
        <is>
          <t>Yes</t>
        </is>
      </c>
      <c r="B13" s="23" t="inlineStr">
        <is>
          <t>Net settlement to Prp India</t>
        </is>
      </c>
      <c r="C13" s="24" t="inlineStr">
        <is>
          <t>200999103427</t>
        </is>
      </c>
      <c r="D13" s="22" t="inlineStr">
        <is>
          <t>C</t>
        </is>
      </c>
      <c r="E13" s="25" t="n"/>
      <c r="F13" s="23" t="inlineStr">
        <is>
          <t>PROPELG-TXN Prp India {DDMMYY} {DDMMYY}</t>
        </is>
      </c>
      <c r="G13" s="26">
        <f>IF($E13="","",$E13/IF(ttAmountUnit="Paise",100,1))</f>
        <v/>
      </c>
      <c r="H13" s="27" t="inlineStr">
        <is>
          <t>Nodal</t>
        </is>
      </c>
      <c r="I13" s="28">
        <f>IF(AND($A13="Yes",$E13&lt;&gt;""),SUMPRODUCT(($A$5:$A13="Yes")*($E$5:$E13&lt;&gt;"")),"")</f>
        <v/>
      </c>
    </row>
    <row r="14">
      <c r="A14" s="22" t="n"/>
      <c r="B14" s="23" t="n"/>
      <c r="C14" s="24" t="n"/>
      <c r="D14" s="22" t="n"/>
      <c r="E14" s="25" t="n"/>
      <c r="F14" s="23" t="n"/>
      <c r="G14" s="26">
        <f>IF($E14="","",$E14/IF(ttAmountUnit="Paise",100,1))</f>
        <v/>
      </c>
      <c r="H14" s="27" t="n"/>
      <c r="I14" s="28">
        <f>IF(AND($A14="Yes",$E14&lt;&gt;""),SUMPRODUCT(($A$5:$A14="Yes")*($E$5:$E14&lt;&gt;"")),"")</f>
        <v/>
      </c>
    </row>
    <row r="15">
      <c r="A15" s="22" t="n"/>
      <c r="B15" s="23" t="n"/>
      <c r="C15" s="24" t="n"/>
      <c r="D15" s="22" t="n"/>
      <c r="E15" s="25" t="n"/>
      <c r="F15" s="23" t="n"/>
      <c r="G15" s="26">
        <f>IF($E15="","",$E15/IF(ttAmountUnit="Paise",100,1))</f>
        <v/>
      </c>
      <c r="H15" s="27" t="n"/>
      <c r="I15" s="28">
        <f>IF(AND($A15="Yes",$E15&lt;&gt;""),SUMPRODUCT(($A$5:$A15="Yes")*($E$5:$E15&lt;&gt;"")),"")</f>
        <v/>
      </c>
    </row>
    <row r="16">
      <c r="A16" s="22" t="n"/>
      <c r="B16" s="23" t="n"/>
      <c r="C16" s="24" t="n"/>
      <c r="D16" s="22" t="n"/>
      <c r="E16" s="25" t="n"/>
      <c r="F16" s="23" t="n"/>
      <c r="G16" s="26">
        <f>IF($E16="","",$E16/IF(ttAmountUnit="Paise",100,1))</f>
        <v/>
      </c>
      <c r="H16" s="27" t="n"/>
      <c r="I16" s="28">
        <f>IF(AND($A16="Yes",$E16&lt;&gt;""),SUMPRODUCT(($A$5:$A16="Yes")*($E$5:$E16&lt;&gt;"")),"")</f>
        <v/>
      </c>
    </row>
    <row r="17">
      <c r="A17" s="22" t="n"/>
      <c r="B17" s="23" t="n"/>
      <c r="C17" s="24" t="n"/>
      <c r="D17" s="22" t="n"/>
      <c r="E17" s="25" t="n"/>
      <c r="F17" s="23" t="n"/>
      <c r="G17" s="26">
        <f>IF($E17="","",$E17/IF(ttAmountUnit="Paise",100,1))</f>
        <v/>
      </c>
      <c r="H17" s="27" t="n"/>
      <c r="I17" s="28">
        <f>IF(AND($A17="Yes",$E17&lt;&gt;""),SUMPRODUCT(($A$5:$A17="Yes")*($E$5:$E17&lt;&gt;"")),"")</f>
        <v/>
      </c>
    </row>
    <row r="18">
      <c r="A18" s="22" t="n"/>
      <c r="B18" s="23" t="n"/>
      <c r="C18" s="24" t="n"/>
      <c r="D18" s="22" t="n"/>
      <c r="E18" s="25" t="n"/>
      <c r="F18" s="23" t="n"/>
      <c r="G18" s="26">
        <f>IF($E18="","",$E18/IF(ttAmountUnit="Paise",100,1))</f>
        <v/>
      </c>
      <c r="H18" s="27" t="n"/>
      <c r="I18" s="28">
        <f>IF(AND($A18="Yes",$E18&lt;&gt;""),SUMPRODUCT(($A$5:$A18="Yes")*($E$5:$E18&lt;&gt;"")),"")</f>
        <v/>
      </c>
    </row>
    <row r="19">
      <c r="A19" s="22" t="n"/>
      <c r="B19" s="23" t="n"/>
      <c r="C19" s="24" t="n"/>
      <c r="D19" s="22" t="n"/>
      <c r="E19" s="25" t="n"/>
      <c r="F19" s="23" t="n"/>
      <c r="G19" s="26">
        <f>IF($E19="","",$E19/IF(ttAmountUnit="Paise",100,1))</f>
        <v/>
      </c>
      <c r="H19" s="27" t="n"/>
      <c r="I19" s="28">
        <f>IF(AND($A19="Yes",$E19&lt;&gt;""),SUMPRODUCT(($A$5:$A19="Yes")*($E$5:$E19&lt;&gt;"")),"")</f>
        <v/>
      </c>
    </row>
    <row r="20">
      <c r="A20" s="22" t="n"/>
      <c r="B20" s="23" t="n"/>
      <c r="C20" s="24" t="n"/>
      <c r="D20" s="22" t="n"/>
      <c r="E20" s="25" t="n"/>
      <c r="F20" s="23" t="n"/>
      <c r="G20" s="26">
        <f>IF($E20="","",$E20/IF(ttAmountUnit="Paise",100,1))</f>
        <v/>
      </c>
      <c r="H20" s="27" t="n"/>
      <c r="I20" s="28">
        <f>IF(AND($A20="Yes",$E20&lt;&gt;""),SUMPRODUCT(($A$5:$A20="Yes")*($E$5:$E20&lt;&gt;"")),"")</f>
        <v/>
      </c>
    </row>
    <row r="21">
      <c r="A21" s="22" t="n"/>
      <c r="B21" s="23" t="n"/>
      <c r="C21" s="24" t="n"/>
      <c r="D21" s="22" t="n"/>
      <c r="E21" s="25" t="n"/>
      <c r="F21" s="23" t="n"/>
      <c r="G21" s="26">
        <f>IF($E21="","",$E21/IF(ttAmountUnit="Paise",100,1))</f>
        <v/>
      </c>
      <c r="H21" s="27" t="n"/>
      <c r="I21" s="28">
        <f>IF(AND($A21="Yes",$E21&lt;&gt;""),SUMPRODUCT(($A$5:$A21="Yes")*($E$5:$E21&lt;&gt;"")),"")</f>
        <v/>
      </c>
    </row>
    <row r="22">
      <c r="A22" s="22" t="n"/>
      <c r="B22" s="23" t="n"/>
      <c r="C22" s="24" t="n"/>
      <c r="D22" s="22" t="n"/>
      <c r="E22" s="25" t="n"/>
      <c r="F22" s="23" t="n"/>
      <c r="G22" s="26">
        <f>IF($E22="","",$E22/IF(ttAmountUnit="Paise",100,1))</f>
        <v/>
      </c>
      <c r="H22" s="27" t="n"/>
      <c r="I22" s="28">
        <f>IF(AND($A22="Yes",$E22&lt;&gt;""),SUMPRODUCT(($A$5:$A22="Yes")*($E$5:$E22&lt;&gt;"")),"")</f>
        <v/>
      </c>
    </row>
    <row r="23">
      <c r="A23" s="22" t="n"/>
      <c r="B23" s="23" t="n"/>
      <c r="C23" s="24" t="n"/>
      <c r="D23" s="22" t="n"/>
      <c r="E23" s="25" t="n"/>
      <c r="F23" s="23" t="n"/>
      <c r="G23" s="26">
        <f>IF($E23="","",$E23/IF(ttAmountUnit="Paise",100,1))</f>
        <v/>
      </c>
      <c r="H23" s="27" t="n"/>
      <c r="I23" s="28">
        <f>IF(AND($A23="Yes",$E23&lt;&gt;""),SUMPRODUCT(($A$5:$A23="Yes")*($E$5:$E23&lt;&gt;"")),"")</f>
        <v/>
      </c>
    </row>
    <row r="24">
      <c r="A24" s="22" t="n"/>
      <c r="B24" s="23" t="n"/>
      <c r="C24" s="24" t="n"/>
      <c r="D24" s="22" t="n"/>
      <c r="E24" s="25" t="n"/>
      <c r="F24" s="23" t="n"/>
      <c r="G24" s="26">
        <f>IF($E24="","",$E24/IF(ttAmountUnit="Paise",100,1))</f>
        <v/>
      </c>
      <c r="H24" s="27" t="n"/>
      <c r="I24" s="28">
        <f>IF(AND($A24="Yes",$E24&lt;&gt;""),SUMPRODUCT(($A$5:$A24="Yes")*($E$5:$E24&lt;&gt;"")),"")</f>
        <v/>
      </c>
    </row>
    <row r="25">
      <c r="A25" s="22" t="n"/>
      <c r="B25" s="23" t="n"/>
      <c r="C25" s="24" t="n"/>
      <c r="D25" s="22" t="n"/>
      <c r="E25" s="25" t="n"/>
      <c r="F25" s="23" t="n"/>
      <c r="G25" s="26">
        <f>IF($E25="","",$E25/IF(ttAmountUnit="Paise",100,1))</f>
        <v/>
      </c>
      <c r="H25" s="27" t="n"/>
      <c r="I25" s="28">
        <f>IF(AND($A25="Yes",$E25&lt;&gt;""),SUMPRODUCT(($A$5:$A25="Yes")*($E$5:$E25&lt;&gt;"")),"")</f>
        <v/>
      </c>
    </row>
    <row r="26">
      <c r="A26" s="22" t="n"/>
      <c r="B26" s="23" t="n"/>
      <c r="C26" s="24" t="n"/>
      <c r="D26" s="22" t="n"/>
      <c r="E26" s="25" t="n"/>
      <c r="F26" s="23" t="n"/>
      <c r="G26" s="26">
        <f>IF($E26="","",$E26/IF(ttAmountUnit="Paise",100,1))</f>
        <v/>
      </c>
      <c r="H26" s="27" t="n"/>
      <c r="I26" s="28">
        <f>IF(AND($A26="Yes",$E26&lt;&gt;""),SUMPRODUCT(($A$5:$A26="Yes")*($E$5:$E26&lt;&gt;"")),"")</f>
        <v/>
      </c>
    </row>
    <row r="27">
      <c r="A27" s="22" t="n"/>
      <c r="B27" s="23" t="n"/>
      <c r="C27" s="24" t="n"/>
      <c r="D27" s="22" t="n"/>
      <c r="E27" s="25" t="n"/>
      <c r="F27" s="23" t="n"/>
      <c r="G27" s="26">
        <f>IF($E27="","",$E27/IF(ttAmountUnit="Paise",100,1))</f>
        <v/>
      </c>
      <c r="H27" s="27" t="n"/>
      <c r="I27" s="28">
        <f>IF(AND($A27="Yes",$E27&lt;&gt;""),SUMPRODUCT(($A$5:$A27="Yes")*($E$5:$E27&lt;&gt;"")),"")</f>
        <v/>
      </c>
    </row>
    <row r="28">
      <c r="A28" s="22" t="n"/>
      <c r="B28" s="23" t="n"/>
      <c r="C28" s="24" t="n"/>
      <c r="D28" s="22" t="n"/>
      <c r="E28" s="25" t="n"/>
      <c r="F28" s="23" t="n"/>
      <c r="G28" s="26">
        <f>IF($E28="","",$E28/IF(ttAmountUnit="Paise",100,1))</f>
        <v/>
      </c>
      <c r="H28" s="27" t="n"/>
      <c r="I28" s="28">
        <f>IF(AND($A28="Yes",$E28&lt;&gt;""),SUMPRODUCT(($A$5:$A28="Yes")*($E$5:$E28&lt;&gt;"")),"")</f>
        <v/>
      </c>
    </row>
    <row r="29">
      <c r="A29" s="22" t="n"/>
      <c r="B29" s="23" t="n"/>
      <c r="C29" s="24" t="n"/>
      <c r="D29" s="22" t="n"/>
      <c r="E29" s="25" t="n"/>
      <c r="F29" s="23" t="n"/>
      <c r="G29" s="26">
        <f>IF($E29="","",$E29/IF(ttAmountUnit="Paise",100,1))</f>
        <v/>
      </c>
      <c r="H29" s="27" t="n"/>
      <c r="I29" s="28">
        <f>IF(AND($A29="Yes",$E29&lt;&gt;""),SUMPRODUCT(($A$5:$A29="Yes")*($E$5:$E29&lt;&gt;"")),"")</f>
        <v/>
      </c>
    </row>
    <row r="30">
      <c r="A30" s="22" t="n"/>
      <c r="B30" s="23" t="n"/>
      <c r="C30" s="24" t="n"/>
      <c r="D30" s="22" t="n"/>
      <c r="E30" s="25" t="n"/>
      <c r="F30" s="23" t="n"/>
      <c r="G30" s="26">
        <f>IF($E30="","",$E30/IF(ttAmountUnit="Paise",100,1))</f>
        <v/>
      </c>
      <c r="H30" s="27" t="n"/>
      <c r="I30" s="28">
        <f>IF(AND($A30="Yes",$E30&lt;&gt;""),SUMPRODUCT(($A$5:$A30="Yes")*($E$5:$E30&lt;&gt;"")),"")</f>
        <v/>
      </c>
    </row>
    <row r="31">
      <c r="A31" s="22" t="n"/>
      <c r="B31" s="23" t="n"/>
      <c r="C31" s="24" t="n"/>
      <c r="D31" s="22" t="n"/>
      <c r="E31" s="25" t="n"/>
      <c r="F31" s="23" t="n"/>
      <c r="G31" s="26">
        <f>IF($E31="","",$E31/IF(ttAmountUnit="Paise",100,1))</f>
        <v/>
      </c>
      <c r="H31" s="27" t="n"/>
      <c r="I31" s="28">
        <f>IF(AND($A31="Yes",$E31&lt;&gt;""),SUMPRODUCT(($A$5:$A31="Yes")*($E$5:$E31&lt;&gt;"")),"")</f>
        <v/>
      </c>
    </row>
    <row r="32">
      <c r="A32" s="22" t="n"/>
      <c r="B32" s="23" t="n"/>
      <c r="C32" s="24" t="n"/>
      <c r="D32" s="22" t="n"/>
      <c r="E32" s="25" t="n"/>
      <c r="F32" s="23" t="n"/>
      <c r="G32" s="26">
        <f>IF($E32="","",$E32/IF(ttAmountUnit="Paise",100,1))</f>
        <v/>
      </c>
      <c r="H32" s="27" t="n"/>
      <c r="I32" s="28">
        <f>IF(AND($A32="Yes",$E32&lt;&gt;""),SUMPRODUCT(($A$5:$A32="Yes")*($E$5:$E32&lt;&gt;"")),"")</f>
        <v/>
      </c>
    </row>
    <row r="33">
      <c r="A33" s="22" t="n"/>
      <c r="B33" s="23" t="n"/>
      <c r="C33" s="24" t="n"/>
      <c r="D33" s="22" t="n"/>
      <c r="E33" s="25" t="n"/>
      <c r="F33" s="23" t="n"/>
      <c r="G33" s="26">
        <f>IF($E33="","",$E33/IF(ttAmountUnit="Paise",100,1))</f>
        <v/>
      </c>
      <c r="H33" s="27" t="n"/>
      <c r="I33" s="28">
        <f>IF(AND($A33="Yes",$E33&lt;&gt;""),SUMPRODUCT(($A$5:$A33="Yes")*($E$5:$E33&lt;&gt;"")),"")</f>
        <v/>
      </c>
    </row>
    <row r="34">
      <c r="A34" s="22" t="n"/>
      <c r="B34" s="23" t="n"/>
      <c r="C34" s="24" t="n"/>
      <c r="D34" s="22" t="n"/>
      <c r="E34" s="25" t="n"/>
      <c r="F34" s="23" t="n"/>
      <c r="G34" s="26">
        <f>IF($E34="","",$E34/IF(ttAmountUnit="Paise",100,1))</f>
        <v/>
      </c>
      <c r="H34" s="27" t="n"/>
      <c r="I34" s="28">
        <f>IF(AND($A34="Yes",$E34&lt;&gt;""),SUMPRODUCT(($A$5:$A34="Yes")*($E$5:$E34&lt;&gt;"")),"")</f>
        <v/>
      </c>
    </row>
    <row r="35">
      <c r="A35" s="22" t="n"/>
      <c r="B35" s="23" t="n"/>
      <c r="C35" s="24" t="n"/>
      <c r="D35" s="22" t="n"/>
      <c r="E35" s="25" t="n"/>
      <c r="F35" s="23" t="n"/>
      <c r="G35" s="26">
        <f>IF($E35="","",$E35/IF(ttAmountUnit="Paise",100,1))</f>
        <v/>
      </c>
      <c r="H35" s="27" t="n"/>
      <c r="I35" s="28">
        <f>IF(AND($A35="Yes",$E35&lt;&gt;""),SUMPRODUCT(($A$5:$A35="Yes")*($E$5:$E35&lt;&gt;"")),"")</f>
        <v/>
      </c>
    </row>
    <row r="36">
      <c r="A36" s="22" t="n"/>
      <c r="B36" s="23" t="n"/>
      <c r="C36" s="24" t="n"/>
      <c r="D36" s="22" t="n"/>
      <c r="E36" s="25" t="n"/>
      <c r="F36" s="23" t="n"/>
      <c r="G36" s="26">
        <f>IF($E36="","",$E36/IF(ttAmountUnit="Paise",100,1))</f>
        <v/>
      </c>
      <c r="H36" s="27" t="n"/>
      <c r="I36" s="28">
        <f>IF(AND($A36="Yes",$E36&lt;&gt;""),SUMPRODUCT(($A$5:$A36="Yes")*($E$5:$E36&lt;&gt;"")),"")</f>
        <v/>
      </c>
    </row>
    <row r="37">
      <c r="A37" s="22" t="n"/>
      <c r="B37" s="23" t="n"/>
      <c r="C37" s="24" t="n"/>
      <c r="D37" s="22" t="n"/>
      <c r="E37" s="25" t="n"/>
      <c r="F37" s="23" t="n"/>
      <c r="G37" s="26">
        <f>IF($E37="","",$E37/IF(ttAmountUnit="Paise",100,1))</f>
        <v/>
      </c>
      <c r="H37" s="27" t="n"/>
      <c r="I37" s="28">
        <f>IF(AND($A37="Yes",$E37&lt;&gt;""),SUMPRODUCT(($A$5:$A37="Yes")*($E$5:$E37&lt;&gt;"")),"")</f>
        <v/>
      </c>
    </row>
    <row r="38">
      <c r="A38" s="22" t="n"/>
      <c r="B38" s="23" t="n"/>
      <c r="C38" s="24" t="n"/>
      <c r="D38" s="22" t="n"/>
      <c r="E38" s="25" t="n"/>
      <c r="F38" s="23" t="n"/>
      <c r="G38" s="26">
        <f>IF($E38="","",$E38/IF(ttAmountUnit="Paise",100,1))</f>
        <v/>
      </c>
      <c r="H38" s="27" t="n"/>
      <c r="I38" s="28">
        <f>IF(AND($A38="Yes",$E38&lt;&gt;""),SUMPRODUCT(($A$5:$A38="Yes")*($E$5:$E38&lt;&gt;"")),"")</f>
        <v/>
      </c>
    </row>
    <row r="39">
      <c r="A39" s="22" t="n"/>
      <c r="B39" s="23" t="n"/>
      <c r="C39" s="24" t="n"/>
      <c r="D39" s="22" t="n"/>
      <c r="E39" s="25" t="n"/>
      <c r="F39" s="23" t="n"/>
      <c r="G39" s="26">
        <f>IF($E39="","",$E39/IF(ttAmountUnit="Paise",100,1))</f>
        <v/>
      </c>
      <c r="H39" s="27" t="n"/>
      <c r="I39" s="28">
        <f>IF(AND($A39="Yes",$E39&lt;&gt;""),SUMPRODUCT(($A$5:$A39="Yes")*($E$5:$E39&lt;&gt;"")),"")</f>
        <v/>
      </c>
    </row>
    <row r="40">
      <c r="A40" s="22" t="n"/>
      <c r="B40" s="23" t="n"/>
      <c r="C40" s="24" t="n"/>
      <c r="D40" s="22" t="n"/>
      <c r="E40" s="25" t="n"/>
      <c r="F40" s="23" t="n"/>
      <c r="G40" s="26">
        <f>IF($E40="","",$E40/IF(ttAmountUnit="Paise",100,1))</f>
        <v/>
      </c>
      <c r="H40" s="27" t="n"/>
      <c r="I40" s="28">
        <f>IF(AND($A40="Yes",$E40&lt;&gt;""),SUMPRODUCT(($A$5:$A40="Yes")*($E$5:$E40&lt;&gt;"")),"")</f>
        <v/>
      </c>
    </row>
    <row r="41">
      <c r="A41" s="22" t="n"/>
      <c r="B41" s="23" t="n"/>
      <c r="C41" s="24" t="n"/>
      <c r="D41" s="22" t="n"/>
      <c r="E41" s="25" t="n"/>
      <c r="F41" s="23" t="n"/>
      <c r="G41" s="26">
        <f>IF($E41="","",$E41/IF(ttAmountUnit="Paise",100,1))</f>
        <v/>
      </c>
      <c r="H41" s="27" t="n"/>
      <c r="I41" s="28">
        <f>IF(AND($A41="Yes",$E41&lt;&gt;""),SUMPRODUCT(($A$5:$A41="Yes")*($E$5:$E41&lt;&gt;"")),"")</f>
        <v/>
      </c>
    </row>
    <row r="42">
      <c r="A42" s="22" t="n"/>
      <c r="B42" s="23" t="n"/>
      <c r="C42" s="24" t="n"/>
      <c r="D42" s="22" t="n"/>
      <c r="E42" s="25" t="n"/>
      <c r="F42" s="23" t="n"/>
      <c r="G42" s="26">
        <f>IF($E42="","",$E42/IF(ttAmountUnit="Paise",100,1))</f>
        <v/>
      </c>
      <c r="H42" s="27" t="n"/>
      <c r="I42" s="28">
        <f>IF(AND($A42="Yes",$E42&lt;&gt;""),SUMPRODUCT(($A$5:$A42="Yes")*($E$5:$E42&lt;&gt;"")),"")</f>
        <v/>
      </c>
    </row>
    <row r="43">
      <c r="A43" s="22" t="n"/>
      <c r="B43" s="23" t="n"/>
      <c r="C43" s="24" t="n"/>
      <c r="D43" s="22" t="n"/>
      <c r="E43" s="25" t="n"/>
      <c r="F43" s="23" t="n"/>
      <c r="G43" s="26">
        <f>IF($E43="","",$E43/IF(ttAmountUnit="Paise",100,1))</f>
        <v/>
      </c>
      <c r="H43" s="27" t="n"/>
      <c r="I43" s="28">
        <f>IF(AND($A43="Yes",$E43&lt;&gt;""),SUMPRODUCT(($A$5:$A43="Yes")*($E$5:$E43&lt;&gt;"")),"")</f>
        <v/>
      </c>
    </row>
    <row r="44">
      <c r="A44" s="22" t="n"/>
      <c r="B44" s="23" t="n"/>
      <c r="C44" s="24" t="n"/>
      <c r="D44" s="22" t="n"/>
      <c r="E44" s="25" t="n"/>
      <c r="F44" s="23" t="n"/>
      <c r="G44" s="26">
        <f>IF($E44="","",$E44/IF(ttAmountUnit="Paise",100,1))</f>
        <v/>
      </c>
      <c r="H44" s="27" t="n"/>
      <c r="I44" s="28">
        <f>IF(AND($A44="Yes",$E44&lt;&gt;""),SUMPRODUCT(($A$5:$A44="Yes")*($E$5:$E44&lt;&gt;"")),"")</f>
        <v/>
      </c>
    </row>
    <row r="45">
      <c r="A45" s="22" t="n"/>
      <c r="B45" s="23" t="n"/>
      <c r="C45" s="24" t="n"/>
      <c r="D45" s="22" t="n"/>
      <c r="E45" s="25" t="n"/>
      <c r="F45" s="23" t="n"/>
      <c r="G45" s="26">
        <f>IF($E45="","",$E45/IF(ttAmountUnit="Paise",100,1))</f>
        <v/>
      </c>
      <c r="H45" s="27" t="n"/>
      <c r="I45" s="28">
        <f>IF(AND($A45="Yes",$E45&lt;&gt;""),SUMPRODUCT(($A$5:$A45="Yes")*($E$5:$E45&lt;&gt;"")),"")</f>
        <v/>
      </c>
    </row>
    <row r="46">
      <c r="A46" s="22" t="n"/>
      <c r="B46" s="23" t="n"/>
      <c r="C46" s="24" t="n"/>
      <c r="D46" s="22" t="n"/>
      <c r="E46" s="25" t="n"/>
      <c r="F46" s="23" t="n"/>
      <c r="G46" s="26">
        <f>IF($E46="","",$E46/IF(ttAmountUnit="Paise",100,1))</f>
        <v/>
      </c>
      <c r="H46" s="27" t="n"/>
      <c r="I46" s="28">
        <f>IF(AND($A46="Yes",$E46&lt;&gt;""),SUMPRODUCT(($A$5:$A46="Yes")*($E$5:$E46&lt;&gt;"")),"")</f>
        <v/>
      </c>
    </row>
    <row r="47">
      <c r="A47" s="22" t="n"/>
      <c r="B47" s="23" t="n"/>
      <c r="C47" s="24" t="n"/>
      <c r="D47" s="22" t="n"/>
      <c r="E47" s="25" t="n"/>
      <c r="F47" s="23" t="n"/>
      <c r="G47" s="26">
        <f>IF($E47="","",$E47/IF(ttAmountUnit="Paise",100,1))</f>
        <v/>
      </c>
      <c r="H47" s="27" t="n"/>
      <c r="I47" s="28">
        <f>IF(AND($A47="Yes",$E47&lt;&gt;""),SUMPRODUCT(($A$5:$A47="Yes")*($E$5:$E47&lt;&gt;"")),"")</f>
        <v/>
      </c>
    </row>
    <row r="48">
      <c r="A48" s="22" t="n"/>
      <c r="B48" s="23" t="n"/>
      <c r="C48" s="24" t="n"/>
      <c r="D48" s="22" t="n"/>
      <c r="E48" s="25" t="n"/>
      <c r="F48" s="23" t="n"/>
      <c r="G48" s="26">
        <f>IF($E48="","",$E48/IF(ttAmountUnit="Paise",100,1))</f>
        <v/>
      </c>
      <c r="H48" s="27" t="n"/>
      <c r="I48" s="28">
        <f>IF(AND($A48="Yes",$E48&lt;&gt;""),SUMPRODUCT(($A$5:$A48="Yes")*($E$5:$E48&lt;&gt;"")),"")</f>
        <v/>
      </c>
    </row>
    <row r="49">
      <c r="A49" s="22" t="n"/>
      <c r="B49" s="23" t="n"/>
      <c r="C49" s="24" t="n"/>
      <c r="D49" s="22" t="n"/>
      <c r="E49" s="25" t="n"/>
      <c r="F49" s="23" t="n"/>
      <c r="G49" s="26">
        <f>IF($E49="","",$E49/IF(ttAmountUnit="Paise",100,1))</f>
        <v/>
      </c>
      <c r="H49" s="27" t="n"/>
      <c r="I49" s="28">
        <f>IF(AND($A49="Yes",$E49&lt;&gt;""),SUMPRODUCT(($A$5:$A49="Yes")*($E$5:$E49&lt;&gt;"")),"")</f>
        <v/>
      </c>
    </row>
    <row r="50">
      <c r="A50" s="22" t="n"/>
      <c r="B50" s="23" t="n"/>
      <c r="C50" s="24" t="n"/>
      <c r="D50" s="22" t="n"/>
      <c r="E50" s="25" t="n"/>
      <c r="F50" s="23" t="n"/>
      <c r="G50" s="26">
        <f>IF($E50="","",$E50/IF(ttAmountUnit="Paise",100,1))</f>
        <v/>
      </c>
      <c r="H50" s="27" t="n"/>
      <c r="I50" s="28">
        <f>IF(AND($A50="Yes",$E50&lt;&gt;""),SUMPRODUCT(($A$5:$A50="Yes")*($E$5:$E50&lt;&gt;"")),"")</f>
        <v/>
      </c>
    </row>
    <row r="51">
      <c r="A51" s="22" t="n"/>
      <c r="B51" s="23" t="n"/>
      <c r="C51" s="24" t="n"/>
      <c r="D51" s="22" t="n"/>
      <c r="E51" s="25" t="n"/>
      <c r="F51" s="23" t="n"/>
      <c r="G51" s="26">
        <f>IF($E51="","",$E51/IF(ttAmountUnit="Paise",100,1))</f>
        <v/>
      </c>
      <c r="H51" s="27" t="n"/>
      <c r="I51" s="28">
        <f>IF(AND($A51="Yes",$E51&lt;&gt;""),SUMPRODUCT(($A$5:$A51="Yes")*($E$5:$E51&lt;&gt;"")),"")</f>
        <v/>
      </c>
    </row>
    <row r="52">
      <c r="A52" s="22" t="n"/>
      <c r="B52" s="23" t="n"/>
      <c r="C52" s="24" t="n"/>
      <c r="D52" s="22" t="n"/>
      <c r="E52" s="25" t="n"/>
      <c r="F52" s="23" t="n"/>
      <c r="G52" s="26">
        <f>IF($E52="","",$E52/IF(ttAmountUnit="Paise",100,1))</f>
        <v/>
      </c>
      <c r="H52" s="27" t="n"/>
      <c r="I52" s="28">
        <f>IF(AND($A52="Yes",$E52&lt;&gt;""),SUMPRODUCT(($A$5:$A52="Yes")*($E$5:$E52&lt;&gt;"")),"")</f>
        <v/>
      </c>
    </row>
    <row r="53">
      <c r="A53" s="22" t="n"/>
      <c r="B53" s="23" t="n"/>
      <c r="C53" s="24" t="n"/>
      <c r="D53" s="22" t="n"/>
      <c r="E53" s="25" t="n"/>
      <c r="F53" s="23" t="n"/>
      <c r="G53" s="26">
        <f>IF($E53="","",$E53/IF(ttAmountUnit="Paise",100,1))</f>
        <v/>
      </c>
      <c r="H53" s="27" t="n"/>
      <c r="I53" s="28">
        <f>IF(AND($A53="Yes",$E53&lt;&gt;""),SUMPRODUCT(($A$5:$A53="Yes")*($E$5:$E53&lt;&gt;"")),"")</f>
        <v/>
      </c>
    </row>
    <row r="54">
      <c r="A54" s="22" t="n"/>
      <c r="B54" s="23" t="n"/>
      <c r="C54" s="24" t="n"/>
      <c r="D54" s="22" t="n"/>
      <c r="E54" s="25" t="n"/>
      <c r="F54" s="23" t="n"/>
      <c r="G54" s="26">
        <f>IF($E54="","",$E54/IF(ttAmountUnit="Paise",100,1))</f>
        <v/>
      </c>
      <c r="H54" s="27" t="n"/>
      <c r="I54" s="28">
        <f>IF(AND($A54="Yes",$E54&lt;&gt;""),SUMPRODUCT(($A$5:$A54="Yes")*($E$5:$E54&lt;&gt;"")),"")</f>
        <v/>
      </c>
    </row>
    <row r="55">
      <c r="A55" s="22" t="n"/>
      <c r="B55" s="23" t="n"/>
      <c r="C55" s="24" t="n"/>
      <c r="D55" s="22" t="n"/>
      <c r="E55" s="25" t="n"/>
      <c r="F55" s="23" t="n"/>
      <c r="G55" s="26">
        <f>IF($E55="","",$E55/IF(ttAmountUnit="Paise",100,1))</f>
        <v/>
      </c>
      <c r="H55" s="27" t="n"/>
      <c r="I55" s="28">
        <f>IF(AND($A55="Yes",$E55&lt;&gt;""),SUMPRODUCT(($A$5:$A55="Yes")*($E$5:$E55&lt;&gt;"")),"")</f>
        <v/>
      </c>
    </row>
    <row r="56">
      <c r="A56" s="22" t="n"/>
      <c r="B56" s="23" t="n"/>
      <c r="C56" s="24" t="n"/>
      <c r="D56" s="22" t="n"/>
      <c r="E56" s="25" t="n"/>
      <c r="F56" s="23" t="n"/>
      <c r="G56" s="26">
        <f>IF($E56="","",$E56/IF(ttAmountUnit="Paise",100,1))</f>
        <v/>
      </c>
      <c r="H56" s="27" t="n"/>
      <c r="I56" s="28">
        <f>IF(AND($A56="Yes",$E56&lt;&gt;""),SUMPRODUCT(($A$5:$A56="Yes")*($E$5:$E56&lt;&gt;"")),"")</f>
        <v/>
      </c>
    </row>
    <row r="57">
      <c r="A57" s="22" t="n"/>
      <c r="B57" s="23" t="n"/>
      <c r="C57" s="24" t="n"/>
      <c r="D57" s="22" t="n"/>
      <c r="E57" s="25" t="n"/>
      <c r="F57" s="23" t="n"/>
      <c r="G57" s="26">
        <f>IF($E57="","",$E57/IF(ttAmountUnit="Paise",100,1))</f>
        <v/>
      </c>
      <c r="H57" s="27" t="n"/>
      <c r="I57" s="28">
        <f>IF(AND($A57="Yes",$E57&lt;&gt;""),SUMPRODUCT(($A$5:$A57="Yes")*($E$5:$E57&lt;&gt;"")),"")</f>
        <v/>
      </c>
    </row>
    <row r="58">
      <c r="A58" s="22" t="n"/>
      <c r="B58" s="23" t="n"/>
      <c r="C58" s="24" t="n"/>
      <c r="D58" s="22" t="n"/>
      <c r="E58" s="25" t="n"/>
      <c r="F58" s="23" t="n"/>
      <c r="G58" s="26">
        <f>IF($E58="","",$E58/IF(ttAmountUnit="Paise",100,1))</f>
        <v/>
      </c>
      <c r="H58" s="27" t="n"/>
      <c r="I58" s="28">
        <f>IF(AND($A58="Yes",$E58&lt;&gt;""),SUMPRODUCT(($A$5:$A58="Yes")*($E$5:$E58&lt;&gt;"")),"")</f>
        <v/>
      </c>
    </row>
    <row r="59">
      <c r="A59" s="22" t="n"/>
      <c r="B59" s="23" t="n"/>
      <c r="C59" s="24" t="n"/>
      <c r="D59" s="22" t="n"/>
      <c r="E59" s="25" t="n"/>
      <c r="F59" s="23" t="n"/>
      <c r="G59" s="26">
        <f>IF($E59="","",$E59/IF(ttAmountUnit="Paise",100,1))</f>
        <v/>
      </c>
      <c r="H59" s="27" t="n"/>
      <c r="I59" s="28">
        <f>IF(AND($A59="Yes",$E59&lt;&gt;""),SUMPRODUCT(($A$5:$A59="Yes")*($E$5:$E59&lt;&gt;"")),"")</f>
        <v/>
      </c>
    </row>
    <row r="60">
      <c r="A60" s="22" t="n"/>
      <c r="B60" s="23" t="n"/>
      <c r="C60" s="24" t="n"/>
      <c r="D60" s="22" t="n"/>
      <c r="E60" s="25" t="n"/>
      <c r="F60" s="23" t="n"/>
      <c r="G60" s="26">
        <f>IF($E60="","",$E60/IF(ttAmountUnit="Paise",100,1))</f>
        <v/>
      </c>
      <c r="H60" s="27" t="n"/>
      <c r="I60" s="28">
        <f>IF(AND($A60="Yes",$E60&lt;&gt;""),SUMPRODUCT(($A$5:$A60="Yes")*($E$5:$E60&lt;&gt;"")),"")</f>
        <v/>
      </c>
    </row>
    <row r="61">
      <c r="A61" s="22" t="n"/>
      <c r="B61" s="23" t="n"/>
      <c r="C61" s="24" t="n"/>
      <c r="D61" s="22" t="n"/>
      <c r="E61" s="25" t="n"/>
      <c r="F61" s="23" t="n"/>
      <c r="G61" s="26">
        <f>IF($E61="","",$E61/IF(ttAmountUnit="Paise",100,1))</f>
        <v/>
      </c>
      <c r="H61" s="27" t="n"/>
      <c r="I61" s="28">
        <f>IF(AND($A61="Yes",$E61&lt;&gt;""),SUMPRODUCT(($A$5:$A61="Yes")*($E$5:$E61&lt;&gt;"")),"")</f>
        <v/>
      </c>
    </row>
    <row r="62">
      <c r="A62" s="22" t="n"/>
      <c r="B62" s="23" t="n"/>
      <c r="C62" s="24" t="n"/>
      <c r="D62" s="22" t="n"/>
      <c r="E62" s="25" t="n"/>
      <c r="F62" s="23" t="n"/>
      <c r="G62" s="26">
        <f>IF($E62="","",$E62/IF(ttAmountUnit="Paise",100,1))</f>
        <v/>
      </c>
      <c r="H62" s="27" t="n"/>
      <c r="I62" s="28">
        <f>IF(AND($A62="Yes",$E62&lt;&gt;""),SUMPRODUCT(($A$5:$A62="Yes")*($E$5:$E62&lt;&gt;"")),"")</f>
        <v/>
      </c>
    </row>
    <row r="63">
      <c r="A63" s="22" t="n"/>
      <c r="B63" s="23" t="n"/>
      <c r="C63" s="24" t="n"/>
      <c r="D63" s="22" t="n"/>
      <c r="E63" s="25" t="n"/>
      <c r="F63" s="23" t="n"/>
      <c r="G63" s="26">
        <f>IF($E63="","",$E63/IF(ttAmountUnit="Paise",100,1))</f>
        <v/>
      </c>
      <c r="H63" s="27" t="n"/>
      <c r="I63" s="28">
        <f>IF(AND($A63="Yes",$E63&lt;&gt;""),SUMPRODUCT(($A$5:$A63="Yes")*($E$5:$E63&lt;&gt;"")),"")</f>
        <v/>
      </c>
    </row>
    <row r="64">
      <c r="A64" s="22" t="n"/>
      <c r="B64" s="23" t="n"/>
      <c r="C64" s="24" t="n"/>
      <c r="D64" s="22" t="n"/>
      <c r="E64" s="25" t="n"/>
      <c r="F64" s="23" t="n"/>
      <c r="G64" s="26">
        <f>IF($E64="","",$E64/IF(ttAmountUnit="Paise",100,1))</f>
        <v/>
      </c>
      <c r="H64" s="27" t="n"/>
      <c r="I64" s="28">
        <f>IF(AND($A64="Yes",$E64&lt;&gt;""),SUMPRODUCT(($A$5:$A64="Yes")*($E$5:$E64&lt;&gt;"")),"")</f>
        <v/>
      </c>
    </row>
    <row r="65">
      <c r="A65" s="22" t="n"/>
      <c r="B65" s="23" t="n"/>
      <c r="C65" s="24" t="n"/>
      <c r="D65" s="22" t="n"/>
      <c r="E65" s="25" t="n"/>
      <c r="F65" s="23" t="n"/>
      <c r="G65" s="26">
        <f>IF($E65="","",$E65/IF(ttAmountUnit="Paise",100,1))</f>
        <v/>
      </c>
      <c r="H65" s="27" t="n"/>
      <c r="I65" s="28">
        <f>IF(AND($A65="Yes",$E65&lt;&gt;""),SUMPRODUCT(($A$5:$A65="Yes")*($E$5:$E65&lt;&gt;"")),"")</f>
        <v/>
      </c>
    </row>
    <row r="66">
      <c r="A66" s="22" t="n"/>
      <c r="B66" s="23" t="n"/>
      <c r="C66" s="24" t="n"/>
      <c r="D66" s="22" t="n"/>
      <c r="E66" s="25" t="n"/>
      <c r="F66" s="23" t="n"/>
      <c r="G66" s="26">
        <f>IF($E66="","",$E66/IF(ttAmountUnit="Paise",100,1))</f>
        <v/>
      </c>
      <c r="H66" s="27" t="n"/>
      <c r="I66" s="28">
        <f>IF(AND($A66="Yes",$E66&lt;&gt;""),SUMPRODUCT(($A$5:$A66="Yes")*($E$5:$E66&lt;&gt;"")),"")</f>
        <v/>
      </c>
    </row>
    <row r="67">
      <c r="A67" s="22" t="n"/>
      <c r="B67" s="23" t="n"/>
      <c r="C67" s="24" t="n"/>
      <c r="D67" s="22" t="n"/>
      <c r="E67" s="25" t="n"/>
      <c r="F67" s="23" t="n"/>
      <c r="G67" s="26">
        <f>IF($E67="","",$E67/IF(ttAmountUnit="Paise",100,1))</f>
        <v/>
      </c>
      <c r="H67" s="27" t="n"/>
      <c r="I67" s="28">
        <f>IF(AND($A67="Yes",$E67&lt;&gt;""),SUMPRODUCT(($A$5:$A67="Yes")*($E$5:$E67&lt;&gt;"")),"")</f>
        <v/>
      </c>
    </row>
    <row r="68">
      <c r="A68" s="22" t="n"/>
      <c r="B68" s="23" t="n"/>
      <c r="C68" s="24" t="n"/>
      <c r="D68" s="22" t="n"/>
      <c r="E68" s="25" t="n"/>
      <c r="F68" s="23" t="n"/>
      <c r="G68" s="26">
        <f>IF($E68="","",$E68/IF(ttAmountUnit="Paise",100,1))</f>
        <v/>
      </c>
      <c r="H68" s="27" t="n"/>
      <c r="I68" s="28">
        <f>IF(AND($A68="Yes",$E68&lt;&gt;""),SUMPRODUCT(($A$5:$A68="Yes")*($E$5:$E68&lt;&gt;"")),"")</f>
        <v/>
      </c>
    </row>
    <row r="69">
      <c r="A69" s="22" t="n"/>
      <c r="B69" s="23" t="n"/>
      <c r="C69" s="24" t="n"/>
      <c r="D69" s="22" t="n"/>
      <c r="E69" s="25" t="n"/>
      <c r="F69" s="23" t="n"/>
      <c r="G69" s="26">
        <f>IF($E69="","",$E69/IF(ttAmountUnit="Paise",100,1))</f>
        <v/>
      </c>
      <c r="H69" s="27" t="n"/>
      <c r="I69" s="28">
        <f>IF(AND($A69="Yes",$E69&lt;&gt;""),SUMPRODUCT(($A$5:$A69="Yes")*($E$5:$E69&lt;&gt;"")),"")</f>
        <v/>
      </c>
    </row>
    <row r="70">
      <c r="A70" s="22" t="n"/>
      <c r="B70" s="23" t="n"/>
      <c r="C70" s="24" t="n"/>
      <c r="D70" s="22" t="n"/>
      <c r="E70" s="25" t="n"/>
      <c r="F70" s="23" t="n"/>
      <c r="G70" s="26">
        <f>IF($E70="","",$E70/IF(ttAmountUnit="Paise",100,1))</f>
        <v/>
      </c>
      <c r="H70" s="27" t="n"/>
      <c r="I70" s="28">
        <f>IF(AND($A70="Yes",$E70&lt;&gt;""),SUMPRODUCT(($A$5:$A70="Yes")*($E$5:$E70&lt;&gt;"")),"")</f>
        <v/>
      </c>
    </row>
    <row r="71">
      <c r="A71" s="22" t="n"/>
      <c r="B71" s="23" t="n"/>
      <c r="C71" s="24" t="n"/>
      <c r="D71" s="22" t="n"/>
      <c r="E71" s="25" t="n"/>
      <c r="F71" s="23" t="n"/>
      <c r="G71" s="26">
        <f>IF($E71="","",$E71/IF(ttAmountUnit="Paise",100,1))</f>
        <v/>
      </c>
      <c r="H71" s="27" t="n"/>
      <c r="I71" s="28">
        <f>IF(AND($A71="Yes",$E71&lt;&gt;""),SUMPRODUCT(($A$5:$A71="Yes")*($E$5:$E71&lt;&gt;"")),"")</f>
        <v/>
      </c>
    </row>
    <row r="72">
      <c r="A72" s="22" t="n"/>
      <c r="B72" s="23" t="n"/>
      <c r="C72" s="24" t="n"/>
      <c r="D72" s="22" t="n"/>
      <c r="E72" s="25" t="n"/>
      <c r="F72" s="23" t="n"/>
      <c r="G72" s="26">
        <f>IF($E72="","",$E72/IF(ttAmountUnit="Paise",100,1))</f>
        <v/>
      </c>
      <c r="H72" s="27" t="n"/>
      <c r="I72" s="28">
        <f>IF(AND($A72="Yes",$E72&lt;&gt;""),SUMPRODUCT(($A$5:$A72="Yes")*($E$5:$E72&lt;&gt;"")),"")</f>
        <v/>
      </c>
    </row>
    <row r="73">
      <c r="A73" s="22" t="n"/>
      <c r="B73" s="23" t="n"/>
      <c r="C73" s="24" t="n"/>
      <c r="D73" s="22" t="n"/>
      <c r="E73" s="25" t="n"/>
      <c r="F73" s="23" t="n"/>
      <c r="G73" s="26">
        <f>IF($E73="","",$E73/IF(ttAmountUnit="Paise",100,1))</f>
        <v/>
      </c>
      <c r="H73" s="27" t="n"/>
      <c r="I73" s="28">
        <f>IF(AND($A73="Yes",$E73&lt;&gt;""),SUMPRODUCT(($A$5:$A73="Yes")*($E$5:$E73&lt;&gt;"")),"")</f>
        <v/>
      </c>
    </row>
    <row r="74">
      <c r="A74" s="22" t="n"/>
      <c r="B74" s="23" t="n"/>
      <c r="C74" s="24" t="n"/>
      <c r="D74" s="22" t="n"/>
      <c r="E74" s="25" t="n"/>
      <c r="F74" s="23" t="n"/>
      <c r="G74" s="26">
        <f>IF($E74="","",$E74/IF(ttAmountUnit="Paise",100,1))</f>
        <v/>
      </c>
      <c r="H74" s="27" t="n"/>
      <c r="I74" s="28">
        <f>IF(AND($A74="Yes",$E74&lt;&gt;""),SUMPRODUCT(($A$5:$A74="Yes")*($E$5:$E74&lt;&gt;"")),"")</f>
        <v/>
      </c>
    </row>
    <row r="75">
      <c r="A75" s="22" t="n"/>
      <c r="B75" s="23" t="n"/>
      <c r="C75" s="24" t="n"/>
      <c r="D75" s="22" t="n"/>
      <c r="E75" s="25" t="n"/>
      <c r="F75" s="23" t="n"/>
      <c r="G75" s="26">
        <f>IF($E75="","",$E75/IF(ttAmountUnit="Paise",100,1))</f>
        <v/>
      </c>
      <c r="H75" s="27" t="n"/>
      <c r="I75" s="28">
        <f>IF(AND($A75="Yes",$E75&lt;&gt;""),SUMPRODUCT(($A$5:$A75="Yes")*($E$5:$E75&lt;&gt;"")),"")</f>
        <v/>
      </c>
    </row>
    <row r="76">
      <c r="A76" s="22" t="n"/>
      <c r="B76" s="23" t="n"/>
      <c r="C76" s="24" t="n"/>
      <c r="D76" s="22" t="n"/>
      <c r="E76" s="25" t="n"/>
      <c r="F76" s="23" t="n"/>
      <c r="G76" s="26">
        <f>IF($E76="","",$E76/IF(ttAmountUnit="Paise",100,1))</f>
        <v/>
      </c>
      <c r="H76" s="27" t="n"/>
      <c r="I76" s="28">
        <f>IF(AND($A76="Yes",$E76&lt;&gt;""),SUMPRODUCT(($A$5:$A76="Yes")*($E$5:$E76&lt;&gt;"")),"")</f>
        <v/>
      </c>
    </row>
    <row r="77">
      <c r="A77" s="22" t="n"/>
      <c r="B77" s="23" t="n"/>
      <c r="C77" s="24" t="n"/>
      <c r="D77" s="22" t="n"/>
      <c r="E77" s="25" t="n"/>
      <c r="F77" s="23" t="n"/>
      <c r="G77" s="26">
        <f>IF($E77="","",$E77/IF(ttAmountUnit="Paise",100,1))</f>
        <v/>
      </c>
      <c r="H77" s="27" t="n"/>
      <c r="I77" s="28">
        <f>IF(AND($A77="Yes",$E77&lt;&gt;""),SUMPRODUCT(($A$5:$A77="Yes")*($E$5:$E77&lt;&gt;"")),"")</f>
        <v/>
      </c>
    </row>
    <row r="78">
      <c r="A78" s="22" t="n"/>
      <c r="B78" s="23" t="n"/>
      <c r="C78" s="24" t="n"/>
      <c r="D78" s="22" t="n"/>
      <c r="E78" s="25" t="n"/>
      <c r="F78" s="23" t="n"/>
      <c r="G78" s="26">
        <f>IF($E78="","",$E78/IF(ttAmountUnit="Paise",100,1))</f>
        <v/>
      </c>
      <c r="H78" s="27" t="n"/>
      <c r="I78" s="28">
        <f>IF(AND($A78="Yes",$E78&lt;&gt;""),SUMPRODUCT(($A$5:$A78="Yes")*($E$5:$E78&lt;&gt;"")),"")</f>
        <v/>
      </c>
    </row>
    <row r="79">
      <c r="A79" s="22" t="n"/>
      <c r="B79" s="23" t="n"/>
      <c r="C79" s="24" t="n"/>
      <c r="D79" s="22" t="n"/>
      <c r="E79" s="25" t="n"/>
      <c r="F79" s="23" t="n"/>
      <c r="G79" s="26">
        <f>IF($E79="","",$E79/IF(ttAmountUnit="Paise",100,1))</f>
        <v/>
      </c>
      <c r="H79" s="27" t="n"/>
      <c r="I79" s="28">
        <f>IF(AND($A79="Yes",$E79&lt;&gt;""),SUMPRODUCT(($A$5:$A79="Yes")*($E$5:$E79&lt;&gt;"")),"")</f>
        <v/>
      </c>
    </row>
    <row r="80">
      <c r="A80" s="22" t="n"/>
      <c r="B80" s="23" t="n"/>
      <c r="C80" s="24" t="n"/>
      <c r="D80" s="22" t="n"/>
      <c r="E80" s="25" t="n"/>
      <c r="F80" s="23" t="n"/>
      <c r="G80" s="26">
        <f>IF($E80="","",$E80/IF(ttAmountUnit="Paise",100,1))</f>
        <v/>
      </c>
      <c r="H80" s="27" t="n"/>
      <c r="I80" s="28">
        <f>IF(AND($A80="Yes",$E80&lt;&gt;""),SUMPRODUCT(($A$5:$A80="Yes")*($E$5:$E80&lt;&gt;"")),"")</f>
        <v/>
      </c>
    </row>
    <row r="81">
      <c r="A81" s="22" t="n"/>
      <c r="B81" s="23" t="n"/>
      <c r="C81" s="24" t="n"/>
      <c r="D81" s="22" t="n"/>
      <c r="E81" s="25" t="n"/>
      <c r="F81" s="23" t="n"/>
      <c r="G81" s="26">
        <f>IF($E81="","",$E81/IF(ttAmountUnit="Paise",100,1))</f>
        <v/>
      </c>
      <c r="H81" s="27" t="n"/>
      <c r="I81" s="28">
        <f>IF(AND($A81="Yes",$E81&lt;&gt;""),SUMPRODUCT(($A$5:$A81="Yes")*($E$5:$E81&lt;&gt;"")),"")</f>
        <v/>
      </c>
    </row>
    <row r="82">
      <c r="A82" s="22" t="n"/>
      <c r="B82" s="23" t="n"/>
      <c r="C82" s="24" t="n"/>
      <c r="D82" s="22" t="n"/>
      <c r="E82" s="25" t="n"/>
      <c r="F82" s="23" t="n"/>
      <c r="G82" s="26">
        <f>IF($E82="","",$E82/IF(ttAmountUnit="Paise",100,1))</f>
        <v/>
      </c>
      <c r="H82" s="27" t="n"/>
      <c r="I82" s="28">
        <f>IF(AND($A82="Yes",$E82&lt;&gt;""),SUMPRODUCT(($A$5:$A82="Yes")*($E$5:$E82&lt;&gt;"")),"")</f>
        <v/>
      </c>
    </row>
    <row r="83">
      <c r="A83" s="22" t="n"/>
      <c r="B83" s="23" t="n"/>
      <c r="C83" s="24" t="n"/>
      <c r="D83" s="22" t="n"/>
      <c r="E83" s="25" t="n"/>
      <c r="F83" s="23" t="n"/>
      <c r="G83" s="26">
        <f>IF($E83="","",$E83/IF(ttAmountUnit="Paise",100,1))</f>
        <v/>
      </c>
      <c r="H83" s="27" t="n"/>
      <c r="I83" s="28">
        <f>IF(AND($A83="Yes",$E83&lt;&gt;""),SUMPRODUCT(($A$5:$A83="Yes")*($E$5:$E83&lt;&gt;"")),"")</f>
        <v/>
      </c>
    </row>
    <row r="84">
      <c r="A84" s="22" t="n"/>
      <c r="B84" s="23" t="n"/>
      <c r="C84" s="24" t="n"/>
      <c r="D84" s="22" t="n"/>
      <c r="E84" s="25" t="n"/>
      <c r="F84" s="23" t="n"/>
      <c r="G84" s="26">
        <f>IF($E84="","",$E84/IF(ttAmountUnit="Paise",100,1))</f>
        <v/>
      </c>
      <c r="H84" s="27" t="n"/>
      <c r="I84" s="28">
        <f>IF(AND($A84="Yes",$E84&lt;&gt;""),SUMPRODUCT(($A$5:$A84="Yes")*($E$5:$E84&lt;&gt;"")),"")</f>
        <v/>
      </c>
    </row>
    <row r="85">
      <c r="A85" s="22" t="n"/>
      <c r="B85" s="23" t="n"/>
      <c r="C85" s="24" t="n"/>
      <c r="D85" s="22" t="n"/>
      <c r="E85" s="25" t="n"/>
      <c r="F85" s="23" t="n"/>
      <c r="G85" s="26">
        <f>IF($E85="","",$E85/IF(ttAmountUnit="Paise",100,1))</f>
        <v/>
      </c>
      <c r="H85" s="27" t="n"/>
      <c r="I85" s="28">
        <f>IF(AND($A85="Yes",$E85&lt;&gt;""),SUMPRODUCT(($A$5:$A85="Yes")*($E$5:$E85&lt;&gt;"")),"")</f>
        <v/>
      </c>
    </row>
    <row r="86">
      <c r="A86" s="22" t="n"/>
      <c r="B86" s="23" t="n"/>
      <c r="C86" s="24" t="n"/>
      <c r="D86" s="22" t="n"/>
      <c r="E86" s="25" t="n"/>
      <c r="F86" s="23" t="n"/>
      <c r="G86" s="26">
        <f>IF($E86="","",$E86/IF(ttAmountUnit="Paise",100,1))</f>
        <v/>
      </c>
      <c r="H86" s="27" t="n"/>
      <c r="I86" s="28">
        <f>IF(AND($A86="Yes",$E86&lt;&gt;""),SUMPRODUCT(($A$5:$A86="Yes")*($E$5:$E86&lt;&gt;"")),"")</f>
        <v/>
      </c>
    </row>
    <row r="87">
      <c r="A87" s="22" t="n"/>
      <c r="B87" s="23" t="n"/>
      <c r="C87" s="24" t="n"/>
      <c r="D87" s="22" t="n"/>
      <c r="E87" s="25" t="n"/>
      <c r="F87" s="23" t="n"/>
      <c r="G87" s="26">
        <f>IF($E87="","",$E87/IF(ttAmountUnit="Paise",100,1))</f>
        <v/>
      </c>
      <c r="H87" s="27" t="n"/>
      <c r="I87" s="28">
        <f>IF(AND($A87="Yes",$E87&lt;&gt;""),SUMPRODUCT(($A$5:$A87="Yes")*($E$5:$E87&lt;&gt;"")),"")</f>
        <v/>
      </c>
    </row>
    <row r="88">
      <c r="A88" s="22" t="n"/>
      <c r="B88" s="23" t="n"/>
      <c r="C88" s="24" t="n"/>
      <c r="D88" s="22" t="n"/>
      <c r="E88" s="25" t="n"/>
      <c r="F88" s="23" t="n"/>
      <c r="G88" s="26">
        <f>IF($E88="","",$E88/IF(ttAmountUnit="Paise",100,1))</f>
        <v/>
      </c>
      <c r="H88" s="27" t="n"/>
      <c r="I88" s="28">
        <f>IF(AND($A88="Yes",$E88&lt;&gt;""),SUMPRODUCT(($A$5:$A88="Yes")*($E$5:$E88&lt;&gt;"")),"")</f>
        <v/>
      </c>
    </row>
    <row r="89">
      <c r="A89" s="22" t="n"/>
      <c r="B89" s="23" t="n"/>
      <c r="C89" s="24" t="n"/>
      <c r="D89" s="22" t="n"/>
      <c r="E89" s="25" t="n"/>
      <c r="F89" s="23" t="n"/>
      <c r="G89" s="26">
        <f>IF($E89="","",$E89/IF(ttAmountUnit="Paise",100,1))</f>
        <v/>
      </c>
      <c r="H89" s="27" t="n"/>
      <c r="I89" s="28">
        <f>IF(AND($A89="Yes",$E89&lt;&gt;""),SUMPRODUCT(($A$5:$A89="Yes")*($E$5:$E89&lt;&gt;"")),"")</f>
        <v/>
      </c>
    </row>
    <row r="90">
      <c r="A90" s="22" t="n"/>
      <c r="B90" s="23" t="n"/>
      <c r="C90" s="24" t="n"/>
      <c r="D90" s="22" t="n"/>
      <c r="E90" s="25" t="n"/>
      <c r="F90" s="23" t="n"/>
      <c r="G90" s="26">
        <f>IF($E90="","",$E90/IF(ttAmountUnit="Paise",100,1))</f>
        <v/>
      </c>
      <c r="H90" s="27" t="n"/>
      <c r="I90" s="28">
        <f>IF(AND($A90="Yes",$E90&lt;&gt;""),SUMPRODUCT(($A$5:$A90="Yes")*($E$5:$E90&lt;&gt;"")),"")</f>
        <v/>
      </c>
    </row>
    <row r="91">
      <c r="A91" s="22" t="n"/>
      <c r="B91" s="23" t="n"/>
      <c r="C91" s="24" t="n"/>
      <c r="D91" s="22" t="n"/>
      <c r="E91" s="25" t="n"/>
      <c r="F91" s="23" t="n"/>
      <c r="G91" s="26">
        <f>IF($E91="","",$E91/IF(ttAmountUnit="Paise",100,1))</f>
        <v/>
      </c>
      <c r="H91" s="27" t="n"/>
      <c r="I91" s="28">
        <f>IF(AND($A91="Yes",$E91&lt;&gt;""),SUMPRODUCT(($A$5:$A91="Yes")*($E$5:$E91&lt;&gt;"")),"")</f>
        <v/>
      </c>
    </row>
    <row r="92">
      <c r="A92" s="22" t="n"/>
      <c r="B92" s="23" t="n"/>
      <c r="C92" s="24" t="n"/>
      <c r="D92" s="22" t="n"/>
      <c r="E92" s="25" t="n"/>
      <c r="F92" s="23" t="n"/>
      <c r="G92" s="26">
        <f>IF($E92="","",$E92/IF(ttAmountUnit="Paise",100,1))</f>
        <v/>
      </c>
      <c r="H92" s="27" t="n"/>
      <c r="I92" s="28">
        <f>IF(AND($A92="Yes",$E92&lt;&gt;""),SUMPRODUCT(($A$5:$A92="Yes")*($E$5:$E92&lt;&gt;"")),"")</f>
        <v/>
      </c>
    </row>
    <row r="93">
      <c r="A93" s="22" t="n"/>
      <c r="B93" s="23" t="n"/>
      <c r="C93" s="24" t="n"/>
      <c r="D93" s="22" t="n"/>
      <c r="E93" s="25" t="n"/>
      <c r="F93" s="23" t="n"/>
      <c r="G93" s="26">
        <f>IF($E93="","",$E93/IF(ttAmountUnit="Paise",100,1))</f>
        <v/>
      </c>
      <c r="H93" s="27" t="n"/>
      <c r="I93" s="28">
        <f>IF(AND($A93="Yes",$E93&lt;&gt;""),SUMPRODUCT(($A$5:$A93="Yes")*($E$5:$E93&lt;&gt;"")),"")</f>
        <v/>
      </c>
    </row>
    <row r="94">
      <c r="A94" s="22" t="n"/>
      <c r="B94" s="23" t="n"/>
      <c r="C94" s="24" t="n"/>
      <c r="D94" s="22" t="n"/>
      <c r="E94" s="25" t="n"/>
      <c r="F94" s="23" t="n"/>
      <c r="G94" s="26">
        <f>IF($E94="","",$E94/IF(ttAmountUnit="Paise",100,1))</f>
        <v/>
      </c>
      <c r="H94" s="27" t="n"/>
      <c r="I94" s="28">
        <f>IF(AND($A94="Yes",$E94&lt;&gt;""),SUMPRODUCT(($A$5:$A94="Yes")*($E$5:$E94&lt;&gt;"")),"")</f>
        <v/>
      </c>
    </row>
    <row r="95">
      <c r="A95" s="22" t="n"/>
      <c r="B95" s="23" t="n"/>
      <c r="C95" s="24" t="n"/>
      <c r="D95" s="22" t="n"/>
      <c r="E95" s="25" t="n"/>
      <c r="F95" s="23" t="n"/>
      <c r="G95" s="26">
        <f>IF($E95="","",$E95/IF(ttAmountUnit="Paise",100,1))</f>
        <v/>
      </c>
      <c r="H95" s="27" t="n"/>
      <c r="I95" s="28">
        <f>IF(AND($A95="Yes",$E95&lt;&gt;""),SUMPRODUCT(($A$5:$A95="Yes")*($E$5:$E95&lt;&gt;"")),"")</f>
        <v/>
      </c>
    </row>
    <row r="96">
      <c r="A96" s="22" t="n"/>
      <c r="B96" s="23" t="n"/>
      <c r="C96" s="24" t="n"/>
      <c r="D96" s="22" t="n"/>
      <c r="E96" s="25" t="n"/>
      <c r="F96" s="23" t="n"/>
      <c r="G96" s="26">
        <f>IF($E96="","",$E96/IF(ttAmountUnit="Paise",100,1))</f>
        <v/>
      </c>
      <c r="H96" s="27" t="n"/>
      <c r="I96" s="28">
        <f>IF(AND($A96="Yes",$E96&lt;&gt;""),SUMPRODUCT(($A$5:$A96="Yes")*($E$5:$E96&lt;&gt;"")),"")</f>
        <v/>
      </c>
    </row>
    <row r="97">
      <c r="A97" s="22" t="n"/>
      <c r="B97" s="23" t="n"/>
      <c r="C97" s="24" t="n"/>
      <c r="D97" s="22" t="n"/>
      <c r="E97" s="25" t="n"/>
      <c r="F97" s="23" t="n"/>
      <c r="G97" s="26">
        <f>IF($E97="","",$E97/IF(ttAmountUnit="Paise",100,1))</f>
        <v/>
      </c>
      <c r="H97" s="27" t="n"/>
      <c r="I97" s="28">
        <f>IF(AND($A97="Yes",$E97&lt;&gt;""),SUMPRODUCT(($A$5:$A97="Yes")*($E$5:$E97&lt;&gt;"")),"")</f>
        <v/>
      </c>
    </row>
    <row r="98">
      <c r="A98" s="22" t="n"/>
      <c r="B98" s="23" t="n"/>
      <c r="C98" s="24" t="n"/>
      <c r="D98" s="22" t="n"/>
      <c r="E98" s="25" t="n"/>
      <c r="F98" s="23" t="n"/>
      <c r="G98" s="26">
        <f>IF($E98="","",$E98/IF(ttAmountUnit="Paise",100,1))</f>
        <v/>
      </c>
      <c r="H98" s="27" t="n"/>
      <c r="I98" s="28">
        <f>IF(AND($A98="Yes",$E98&lt;&gt;""),SUMPRODUCT(($A$5:$A98="Yes")*($E$5:$E98&lt;&gt;"")),"")</f>
        <v/>
      </c>
    </row>
    <row r="99">
      <c r="A99" s="22" t="n"/>
      <c r="B99" s="23" t="n"/>
      <c r="C99" s="24" t="n"/>
      <c r="D99" s="22" t="n"/>
      <c r="E99" s="25" t="n"/>
      <c r="F99" s="23" t="n"/>
      <c r="G99" s="26">
        <f>IF($E99="","",$E99/IF(ttAmountUnit="Paise",100,1))</f>
        <v/>
      </c>
      <c r="H99" s="27" t="n"/>
      <c r="I99" s="28">
        <f>IF(AND($A99="Yes",$E99&lt;&gt;""),SUMPRODUCT(($A$5:$A99="Yes")*($E$5:$E99&lt;&gt;"")),"")</f>
        <v/>
      </c>
    </row>
    <row r="100">
      <c r="A100" s="22" t="n"/>
      <c r="B100" s="23" t="n"/>
      <c r="C100" s="24" t="n"/>
      <c r="D100" s="22" t="n"/>
      <c r="E100" s="25" t="n"/>
      <c r="F100" s="23" t="n"/>
      <c r="G100" s="26">
        <f>IF($E100="","",$E100/IF(ttAmountUnit="Paise",100,1))</f>
        <v/>
      </c>
      <c r="H100" s="27" t="n"/>
      <c r="I100" s="28">
        <f>IF(AND($A100="Yes",$E100&lt;&gt;""),SUMPRODUCT(($A$5:$A100="Yes")*($E$5:$E100&lt;&gt;"")),"")</f>
        <v/>
      </c>
    </row>
    <row r="101">
      <c r="A101" s="22" t="n"/>
      <c r="B101" s="23" t="n"/>
      <c r="C101" s="24" t="n"/>
      <c r="D101" s="22" t="n"/>
      <c r="E101" s="25" t="n"/>
      <c r="F101" s="23" t="n"/>
      <c r="G101" s="26">
        <f>IF($E101="","",$E101/IF(ttAmountUnit="Paise",100,1))</f>
        <v/>
      </c>
      <c r="H101" s="27" t="n"/>
      <c r="I101" s="28">
        <f>IF(AND($A101="Yes",$E101&lt;&gt;""),SUMPRODUCT(($A$5:$A101="Yes")*($E$5:$E101&lt;&gt;"")),"")</f>
        <v/>
      </c>
    </row>
    <row r="102">
      <c r="A102" s="22" t="n"/>
      <c r="B102" s="23" t="n"/>
      <c r="C102" s="24" t="n"/>
      <c r="D102" s="22" t="n"/>
      <c r="E102" s="25" t="n"/>
      <c r="F102" s="23" t="n"/>
      <c r="G102" s="26">
        <f>IF($E102="","",$E102/IF(ttAmountUnit="Paise",100,1))</f>
        <v/>
      </c>
      <c r="H102" s="27" t="n"/>
      <c r="I102" s="28">
        <f>IF(AND($A102="Yes",$E102&lt;&gt;""),SUMPRODUCT(($A$5:$A102="Yes")*($E$5:$E102&lt;&gt;"")),"")</f>
        <v/>
      </c>
    </row>
    <row r="103">
      <c r="A103" s="22" t="n"/>
      <c r="B103" s="23" t="n"/>
      <c r="C103" s="24" t="n"/>
      <c r="D103" s="22" t="n"/>
      <c r="E103" s="25" t="n"/>
      <c r="F103" s="23" t="n"/>
      <c r="G103" s="26">
        <f>IF($E103="","",$E103/IF(ttAmountUnit="Paise",100,1))</f>
        <v/>
      </c>
      <c r="H103" s="27" t="n"/>
      <c r="I103" s="28">
        <f>IF(AND($A103="Yes",$E103&lt;&gt;""),SUMPRODUCT(($A$5:$A103="Yes")*($E$5:$E103&lt;&gt;"")),"")</f>
        <v/>
      </c>
    </row>
    <row r="104">
      <c r="A104" s="22" t="n"/>
      <c r="B104" s="23" t="n"/>
      <c r="C104" s="24" t="n"/>
      <c r="D104" s="22" t="n"/>
      <c r="E104" s="25" t="n"/>
      <c r="F104" s="23" t="n"/>
      <c r="G104" s="26">
        <f>IF($E104="","",$E104/IF(ttAmountUnit="Paise",100,1))</f>
        <v/>
      </c>
      <c r="H104" s="27" t="n"/>
      <c r="I104" s="28">
        <f>IF(AND($A104="Yes",$E104&lt;&gt;""),SUMPRODUCT(($A$5:$A104="Yes")*($E$5:$E104&lt;&gt;"")),"")</f>
        <v/>
      </c>
    </row>
    <row r="106">
      <c r="A106" s="12" t="inlineStr">
        <is>
          <t>Amount as keyed: with Config set to Paise (the default), type the figure exactly as the settlement report shows it - the last two digits are the paise, so 47400 is 474.00. The Reads as (INR) column shows how each figure will be understood. Narration tokens {DDMMYY} {DDMMYYYY} {DD} {MM} {YY} {YYYY} are replaced with the value date; the narration must fit 35 characters after substitution. Import match text is what an incoming settlement line's narration must contain for its amount to land on this row - only the amount and Dr/Cr are imported, never the account number or the narration.</t>
        </is>
      </c>
    </row>
    <row r="107"/>
  </sheetData>
  <mergeCells count="4">
    <mergeCell ref="A3:H3"/>
    <mergeCell ref="A2:G2"/>
    <mergeCell ref="A1:G1"/>
    <mergeCell ref="A106:H107"/>
  </mergeCells>
  <conditionalFormatting sqref="A3:H3">
    <cfRule type="expression" priority="1" dxfId="0">
      <formula>$L$3&lt;&gt;0</formula>
    </cfRule>
    <cfRule type="expression" priority="2" dxfId="1">
      <formula>$L$3=0</formula>
    </cfRule>
  </conditionalFormatting>
  <dataValidations count="3">
    <dataValidation sqref="A5:A104" showDropDown="0" showInputMessage="0" showErrorMessage="1" allowBlank="1" errorTitle="Include?" error="Choose Yes to put this row in today's file, or No to leave it out." type="list">
      <formula1>"Yes,No"</formula1>
    </dataValidation>
    <dataValidation sqref="D5:D104" showDropDown="0" showInputMessage="0" showErrorMessage="1" allowBlank="1" errorTitle="Dr/Cr" error="Enter D for a debit or C for a credit." type="list">
      <formula1>"D,C"</formula1>
    </dataValidation>
    <dataValidation sqref="E5:E104" showDropDown="0" showInputMessage="0" showErrorMessage="1" allowBlank="1" errorTitle="Amount" error="Enter the amount as it appears on the settlement report." type="decimal" operator="greaterThan">
      <formula1>0</formula1>
    </dataValidation>
  </dataValidations>
  <pageMargins left="0.75" right="0.75" top="1" bottom="1" header="0.5" footer="0.5"/>
</worksheet>
</file>

<file path=xl/worksheets/sheet3.xml><?xml version="1.0" encoding="utf-8"?>
<worksheet xmlns="http://schemas.openxmlformats.org/spreadsheetml/2006/main">
  <sheetPr codeName="shImport">
    <outlinePr summaryBelow="1" summaryRight="1"/>
    <pageSetUpPr/>
  </sheetPr>
  <dimension ref="A1:J109"/>
  <sheetViews>
    <sheetView showGridLines="0" workbookViewId="0">
      <pane ySplit="9" topLeftCell="A10" activePane="bottomLeft" state="frozen"/>
      <selection pane="bottomLeft" activeCell="A1" sqref="A1"/>
    </sheetView>
  </sheetViews>
  <sheetFormatPr baseColWidth="8" defaultRowHeight="15"/>
  <cols>
    <col width="5" customWidth="1" min="1" max="1"/>
    <col width="62" customWidth="1" min="2" max="2"/>
    <col width="16" customWidth="1" min="3" max="3"/>
    <col width="13" customWidth="1" min="4" max="4"/>
    <col width="16" customWidth="1" min="5" max="5"/>
    <col width="7" customWidth="1" min="6" max="6"/>
    <col width="34" customWidth="1" min="7" max="7"/>
    <col width="16" customWidth="1" min="8" max="8"/>
    <col width="26" customWidth="1" min="9" max="9"/>
    <col width="5" customWidth="1" min="10" max="10"/>
  </cols>
  <sheetData>
    <row r="1" ht="30" customHeight="1">
      <c r="A1" s="1" t="inlineStr">
        <is>
          <t xml:space="preserve">   IMPORT FROM SETTLEMENT FILE</t>
        </is>
      </c>
      <c r="B1" s="2" t="n"/>
      <c r="C1" s="2" t="n"/>
      <c r="D1" s="2" t="n"/>
      <c r="E1" s="2" t="n"/>
      <c r="F1" s="2" t="n"/>
      <c r="G1" s="2" t="n"/>
      <c r="H1" s="2" t="n"/>
      <c r="I1" s="2" t="n"/>
    </row>
    <row r="2" ht="16" customHeight="1">
      <c r="A2" s="3" t="inlineStr">
        <is>
          <t xml:space="preserve">   The day's figures, read out of the file the settlement system produces.</t>
        </is>
      </c>
      <c r="B2" s="2" t="n"/>
      <c r="C2" s="2" t="n"/>
      <c r="D2" s="2" t="n"/>
      <c r="E2" s="2" t="n"/>
      <c r="F2" s="2" t="n"/>
      <c r="G2" s="2" t="n"/>
      <c r="H2" s="2" t="n"/>
      <c r="I2" s="2" t="n"/>
    </row>
    <row r="3">
      <c r="B3" s="29" t="inlineStr">
        <is>
          <t>With macros working:</t>
        </is>
      </c>
      <c r="C3" s="30" t="inlineStr">
        <is>
          <t>click Import Latest Input File on the Dashboard. The file's lines land here, you get a summary to check, and the amounts go onto Entries.</t>
        </is>
      </c>
    </row>
    <row r="4">
      <c r="B4" s="29" t="inlineStr">
        <is>
          <t>With macros blocked:</t>
        </is>
      </c>
      <c r="C4" s="30" t="inlineStr">
        <is>
          <t>open the settlement file in Notepad, select all, copy, and paste into cell B10 below. Then copy the Amount to key column onto the Amount column of the Entries sheet, matching the rows named under Goes to.</t>
        </is>
      </c>
    </row>
    <row r="6">
      <c r="B6" s="16" t="inlineStr">
        <is>
          <t>Last import</t>
        </is>
      </c>
      <c r="C6" s="31" t="inlineStr">
        <is>
          <t>Nothing imported yet.</t>
        </is>
      </c>
    </row>
    <row r="7" ht="20" customHeight="1">
      <c r="B7" s="20">
        <f>"Lines below  "&amp;COUNTIF($B$10:$B$109,"?*")&amp;"      Debit  "&amp;TEXT(SUMIF($F$10:$F$109,"D",$E$10:$E$109)/100,"#,##0.00")&amp;"      Credit  "&amp;TEXT(SUMIF($F$10:$F$109,"C",$E$10:$E$109)/100,"#,##0.00")&amp;"      Difference  "&amp;TEXT((SUMIF($F$10:$F$109,"D",$E$10:$E$109)-SUMIF($F$10:$F$109,"C",$E$10:$E$109))/100,"#,##0.00")</f>
        <v/>
      </c>
    </row>
    <row r="9" ht="26" customHeight="1">
      <c r="A9" s="21" t="inlineStr">
        <is>
          <t>#</t>
        </is>
      </c>
      <c r="B9" s="21" t="inlineStr">
        <is>
          <t>Line from the settlement file</t>
        </is>
      </c>
      <c r="C9" s="21" t="inlineStr">
        <is>
          <t>Account</t>
        </is>
      </c>
      <c r="D9" s="21" t="inlineStr">
        <is>
          <t>Value date</t>
        </is>
      </c>
      <c r="E9" s="21" t="inlineStr">
        <is>
          <t>Amount (paise)</t>
        </is>
      </c>
      <c r="F9" s="21" t="inlineStr">
        <is>
          <t>Dr/Cr</t>
        </is>
      </c>
      <c r="G9" s="21" t="inlineStr">
        <is>
          <t>Narration</t>
        </is>
      </c>
      <c r="H9" s="21" t="inlineStr">
        <is>
          <t>Amount to key</t>
        </is>
      </c>
      <c r="I9" s="21" t="inlineStr">
        <is>
          <t>Goes to</t>
        </is>
      </c>
    </row>
    <row r="10">
      <c r="A10" s="32" t="n">
        <v>1</v>
      </c>
      <c r="B10" s="33" t="n"/>
      <c r="C10" s="32">
        <f>IF(LEN($B10)&lt;14,"",TRIM(MID($B10,1,14)))</f>
        <v/>
      </c>
      <c r="D10" s="34">
        <f>IF(LEN($B10)&lt;22,"",DATE(VALUE(MID($B10,19,4)),VALUE(MID($B10,17,2)),VALUE(MID($B10,15,2))))</f>
        <v/>
      </c>
      <c r="E10" s="35">
        <f>IF(LEN($B10)&lt;45,"",VALUE(MID($B10,23,23)))</f>
        <v/>
      </c>
      <c r="F10" s="36">
        <f>IF(LEN($B10)&lt;46,"",MID($B10,46,1))</f>
        <v/>
      </c>
      <c r="G10" s="32">
        <f>IF(LEN($B10)&lt;116,"",TRIM(MID($B10,82,35)))</f>
        <v/>
      </c>
      <c r="H10" s="37">
        <f>IF($E10="","",$E10/IF(ttAmountUnit="Paise",1,100))</f>
        <v/>
      </c>
      <c r="I10" s="32">
        <f>IF($G10="","",IF($J10=0,"-- no match --",INDEX(Entries!$B$5:$B$104,$J10)))</f>
        <v/>
      </c>
      <c r="J10" s="38">
        <f>IF($G10="","",SUMPRODUCT(MAX((Entries!$H$5:$H$104&lt;&gt;"")*ISNUMBER(SEARCH(Entries!$H$5:$H$104,$G10&amp;""))*(ROW(Entries!$H$5:$H$104)-4))))</f>
        <v/>
      </c>
    </row>
    <row r="11">
      <c r="A11" s="32" t="n">
        <v>2</v>
      </c>
      <c r="B11" s="33" t="n"/>
      <c r="C11" s="32">
        <f>IF(LEN($B11)&lt;14,"",TRIM(MID($B11,1,14)))</f>
        <v/>
      </c>
      <c r="D11" s="34">
        <f>IF(LEN($B11)&lt;22,"",DATE(VALUE(MID($B11,19,4)),VALUE(MID($B11,17,2)),VALUE(MID($B11,15,2))))</f>
        <v/>
      </c>
      <c r="E11" s="35">
        <f>IF(LEN($B11)&lt;45,"",VALUE(MID($B11,23,23)))</f>
        <v/>
      </c>
      <c r="F11" s="36">
        <f>IF(LEN($B11)&lt;46,"",MID($B11,46,1))</f>
        <v/>
      </c>
      <c r="G11" s="32">
        <f>IF(LEN($B11)&lt;116,"",TRIM(MID($B11,82,35)))</f>
        <v/>
      </c>
      <c r="H11" s="37">
        <f>IF($E11="","",$E11/IF(ttAmountUnit="Paise",1,100))</f>
        <v/>
      </c>
      <c r="I11" s="32">
        <f>IF($G11="","",IF($J11=0,"-- no match --",INDEX(Entries!$B$5:$B$104,$J11)))</f>
        <v/>
      </c>
      <c r="J11" s="38">
        <f>IF($G11="","",SUMPRODUCT(MAX((Entries!$H$5:$H$104&lt;&gt;"")*ISNUMBER(SEARCH(Entries!$H$5:$H$104,$G11&amp;""))*(ROW(Entries!$H$5:$H$104)-4))))</f>
        <v/>
      </c>
    </row>
    <row r="12">
      <c r="A12" s="32" t="n">
        <v>3</v>
      </c>
      <c r="B12" s="33" t="n"/>
      <c r="C12" s="32">
        <f>IF(LEN($B12)&lt;14,"",TRIM(MID($B12,1,14)))</f>
        <v/>
      </c>
      <c r="D12" s="34">
        <f>IF(LEN($B12)&lt;22,"",DATE(VALUE(MID($B12,19,4)),VALUE(MID($B12,17,2)),VALUE(MID($B12,15,2))))</f>
        <v/>
      </c>
      <c r="E12" s="35">
        <f>IF(LEN($B12)&lt;45,"",VALUE(MID($B12,23,23)))</f>
        <v/>
      </c>
      <c r="F12" s="36">
        <f>IF(LEN($B12)&lt;46,"",MID($B12,46,1))</f>
        <v/>
      </c>
      <c r="G12" s="32">
        <f>IF(LEN($B12)&lt;116,"",TRIM(MID($B12,82,35)))</f>
        <v/>
      </c>
      <c r="H12" s="37">
        <f>IF($E12="","",$E12/IF(ttAmountUnit="Paise",1,100))</f>
        <v/>
      </c>
      <c r="I12" s="32">
        <f>IF($G12="","",IF($J12=0,"-- no match --",INDEX(Entries!$B$5:$B$104,$J12)))</f>
        <v/>
      </c>
      <c r="J12" s="38">
        <f>IF($G12="","",SUMPRODUCT(MAX((Entries!$H$5:$H$104&lt;&gt;"")*ISNUMBER(SEARCH(Entries!$H$5:$H$104,$G12&amp;""))*(ROW(Entries!$H$5:$H$104)-4))))</f>
        <v/>
      </c>
    </row>
    <row r="13">
      <c r="A13" s="32" t="n">
        <v>4</v>
      </c>
      <c r="B13" s="33" t="n"/>
      <c r="C13" s="32">
        <f>IF(LEN($B13)&lt;14,"",TRIM(MID($B13,1,14)))</f>
        <v/>
      </c>
      <c r="D13" s="34">
        <f>IF(LEN($B13)&lt;22,"",DATE(VALUE(MID($B13,19,4)),VALUE(MID($B13,17,2)),VALUE(MID($B13,15,2))))</f>
        <v/>
      </c>
      <c r="E13" s="35">
        <f>IF(LEN($B13)&lt;45,"",VALUE(MID($B13,23,23)))</f>
        <v/>
      </c>
      <c r="F13" s="36">
        <f>IF(LEN($B13)&lt;46,"",MID($B13,46,1))</f>
        <v/>
      </c>
      <c r="G13" s="32">
        <f>IF(LEN($B13)&lt;116,"",TRIM(MID($B13,82,35)))</f>
        <v/>
      </c>
      <c r="H13" s="37">
        <f>IF($E13="","",$E13/IF(ttAmountUnit="Paise",1,100))</f>
        <v/>
      </c>
      <c r="I13" s="32">
        <f>IF($G13="","",IF($J13=0,"-- no match --",INDEX(Entries!$B$5:$B$104,$J13)))</f>
        <v/>
      </c>
      <c r="J13" s="38">
        <f>IF($G13="","",SUMPRODUCT(MAX((Entries!$H$5:$H$104&lt;&gt;"")*ISNUMBER(SEARCH(Entries!$H$5:$H$104,$G13&amp;""))*(ROW(Entries!$H$5:$H$104)-4))))</f>
        <v/>
      </c>
    </row>
    <row r="14">
      <c r="A14" s="32" t="n">
        <v>5</v>
      </c>
      <c r="B14" s="33" t="n"/>
      <c r="C14" s="32">
        <f>IF(LEN($B14)&lt;14,"",TRIM(MID($B14,1,14)))</f>
        <v/>
      </c>
      <c r="D14" s="34">
        <f>IF(LEN($B14)&lt;22,"",DATE(VALUE(MID($B14,19,4)),VALUE(MID($B14,17,2)),VALUE(MID($B14,15,2))))</f>
        <v/>
      </c>
      <c r="E14" s="35">
        <f>IF(LEN($B14)&lt;45,"",VALUE(MID($B14,23,23)))</f>
        <v/>
      </c>
      <c r="F14" s="36">
        <f>IF(LEN($B14)&lt;46,"",MID($B14,46,1))</f>
        <v/>
      </c>
      <c r="G14" s="32">
        <f>IF(LEN($B14)&lt;116,"",TRIM(MID($B14,82,35)))</f>
        <v/>
      </c>
      <c r="H14" s="37">
        <f>IF($E14="","",$E14/IF(ttAmountUnit="Paise",1,100))</f>
        <v/>
      </c>
      <c r="I14" s="32">
        <f>IF($G14="","",IF($J14=0,"-- no match --",INDEX(Entries!$B$5:$B$104,$J14)))</f>
        <v/>
      </c>
      <c r="J14" s="38">
        <f>IF($G14="","",SUMPRODUCT(MAX((Entries!$H$5:$H$104&lt;&gt;"")*ISNUMBER(SEARCH(Entries!$H$5:$H$104,$G14&amp;""))*(ROW(Entries!$H$5:$H$104)-4))))</f>
        <v/>
      </c>
    </row>
    <row r="15">
      <c r="A15" s="32" t="n">
        <v>6</v>
      </c>
      <c r="B15" s="33" t="n"/>
      <c r="C15" s="32">
        <f>IF(LEN($B15)&lt;14,"",TRIM(MID($B15,1,14)))</f>
        <v/>
      </c>
      <c r="D15" s="34">
        <f>IF(LEN($B15)&lt;22,"",DATE(VALUE(MID($B15,19,4)),VALUE(MID($B15,17,2)),VALUE(MID($B15,15,2))))</f>
        <v/>
      </c>
      <c r="E15" s="35">
        <f>IF(LEN($B15)&lt;45,"",VALUE(MID($B15,23,23)))</f>
        <v/>
      </c>
      <c r="F15" s="36">
        <f>IF(LEN($B15)&lt;46,"",MID($B15,46,1))</f>
        <v/>
      </c>
      <c r="G15" s="32">
        <f>IF(LEN($B15)&lt;116,"",TRIM(MID($B15,82,35)))</f>
        <v/>
      </c>
      <c r="H15" s="37">
        <f>IF($E15="","",$E15/IF(ttAmountUnit="Paise",1,100))</f>
        <v/>
      </c>
      <c r="I15" s="32">
        <f>IF($G15="","",IF($J15=0,"-- no match --",INDEX(Entries!$B$5:$B$104,$J15)))</f>
        <v/>
      </c>
      <c r="J15" s="38">
        <f>IF($G15="","",SUMPRODUCT(MAX((Entries!$H$5:$H$104&lt;&gt;"")*ISNUMBER(SEARCH(Entries!$H$5:$H$104,$G15&amp;""))*(ROW(Entries!$H$5:$H$104)-4))))</f>
        <v/>
      </c>
    </row>
    <row r="16">
      <c r="A16" s="32" t="n">
        <v>7</v>
      </c>
      <c r="B16" s="33" t="n"/>
      <c r="C16" s="32">
        <f>IF(LEN($B16)&lt;14,"",TRIM(MID($B16,1,14)))</f>
        <v/>
      </c>
      <c r="D16" s="34">
        <f>IF(LEN($B16)&lt;22,"",DATE(VALUE(MID($B16,19,4)),VALUE(MID($B16,17,2)),VALUE(MID($B16,15,2))))</f>
        <v/>
      </c>
      <c r="E16" s="35">
        <f>IF(LEN($B16)&lt;45,"",VALUE(MID($B16,23,23)))</f>
        <v/>
      </c>
      <c r="F16" s="36">
        <f>IF(LEN($B16)&lt;46,"",MID($B16,46,1))</f>
        <v/>
      </c>
      <c r="G16" s="32">
        <f>IF(LEN($B16)&lt;116,"",TRIM(MID($B16,82,35)))</f>
        <v/>
      </c>
      <c r="H16" s="37">
        <f>IF($E16="","",$E16/IF(ttAmountUnit="Paise",1,100))</f>
        <v/>
      </c>
      <c r="I16" s="32">
        <f>IF($G16="","",IF($J16=0,"-- no match --",INDEX(Entries!$B$5:$B$104,$J16)))</f>
        <v/>
      </c>
      <c r="J16" s="38">
        <f>IF($G16="","",SUMPRODUCT(MAX((Entries!$H$5:$H$104&lt;&gt;"")*ISNUMBER(SEARCH(Entries!$H$5:$H$104,$G16&amp;""))*(ROW(Entries!$H$5:$H$104)-4))))</f>
        <v/>
      </c>
    </row>
    <row r="17">
      <c r="A17" s="32" t="n">
        <v>8</v>
      </c>
      <c r="B17" s="33" t="n"/>
      <c r="C17" s="32">
        <f>IF(LEN($B17)&lt;14,"",TRIM(MID($B17,1,14)))</f>
        <v/>
      </c>
      <c r="D17" s="34">
        <f>IF(LEN($B17)&lt;22,"",DATE(VALUE(MID($B17,19,4)),VALUE(MID($B17,17,2)),VALUE(MID($B17,15,2))))</f>
        <v/>
      </c>
      <c r="E17" s="35">
        <f>IF(LEN($B17)&lt;45,"",VALUE(MID($B17,23,23)))</f>
        <v/>
      </c>
      <c r="F17" s="36">
        <f>IF(LEN($B17)&lt;46,"",MID($B17,46,1))</f>
        <v/>
      </c>
      <c r="G17" s="32">
        <f>IF(LEN($B17)&lt;116,"",TRIM(MID($B17,82,35)))</f>
        <v/>
      </c>
      <c r="H17" s="37">
        <f>IF($E17="","",$E17/IF(ttAmountUnit="Paise",1,100))</f>
        <v/>
      </c>
      <c r="I17" s="32">
        <f>IF($G17="","",IF($J17=0,"-- no match --",INDEX(Entries!$B$5:$B$104,$J17)))</f>
        <v/>
      </c>
      <c r="J17" s="38">
        <f>IF($G17="","",SUMPRODUCT(MAX((Entries!$H$5:$H$104&lt;&gt;"")*ISNUMBER(SEARCH(Entries!$H$5:$H$104,$G17&amp;""))*(ROW(Entries!$H$5:$H$104)-4))))</f>
        <v/>
      </c>
    </row>
    <row r="18">
      <c r="A18" s="32" t="n">
        <v>9</v>
      </c>
      <c r="B18" s="33" t="n"/>
      <c r="C18" s="32">
        <f>IF(LEN($B18)&lt;14,"",TRIM(MID($B18,1,14)))</f>
        <v/>
      </c>
      <c r="D18" s="34">
        <f>IF(LEN($B18)&lt;22,"",DATE(VALUE(MID($B18,19,4)),VALUE(MID($B18,17,2)),VALUE(MID($B18,15,2))))</f>
        <v/>
      </c>
      <c r="E18" s="35">
        <f>IF(LEN($B18)&lt;45,"",VALUE(MID($B18,23,23)))</f>
        <v/>
      </c>
      <c r="F18" s="36">
        <f>IF(LEN($B18)&lt;46,"",MID($B18,46,1))</f>
        <v/>
      </c>
      <c r="G18" s="32">
        <f>IF(LEN($B18)&lt;116,"",TRIM(MID($B18,82,35)))</f>
        <v/>
      </c>
      <c r="H18" s="37">
        <f>IF($E18="","",$E18/IF(ttAmountUnit="Paise",1,100))</f>
        <v/>
      </c>
      <c r="I18" s="32">
        <f>IF($G18="","",IF($J18=0,"-- no match --",INDEX(Entries!$B$5:$B$104,$J18)))</f>
        <v/>
      </c>
      <c r="J18" s="38">
        <f>IF($G18="","",SUMPRODUCT(MAX((Entries!$H$5:$H$104&lt;&gt;"")*ISNUMBER(SEARCH(Entries!$H$5:$H$104,$G18&amp;""))*(ROW(Entries!$H$5:$H$104)-4))))</f>
        <v/>
      </c>
    </row>
    <row r="19">
      <c r="A19" s="32" t="n">
        <v>10</v>
      </c>
      <c r="B19" s="33" t="n"/>
      <c r="C19" s="32">
        <f>IF(LEN($B19)&lt;14,"",TRIM(MID($B19,1,14)))</f>
        <v/>
      </c>
      <c r="D19" s="34">
        <f>IF(LEN($B19)&lt;22,"",DATE(VALUE(MID($B19,19,4)),VALUE(MID($B19,17,2)),VALUE(MID($B19,15,2))))</f>
        <v/>
      </c>
      <c r="E19" s="35">
        <f>IF(LEN($B19)&lt;45,"",VALUE(MID($B19,23,23)))</f>
        <v/>
      </c>
      <c r="F19" s="36">
        <f>IF(LEN($B19)&lt;46,"",MID($B19,46,1))</f>
        <v/>
      </c>
      <c r="G19" s="32">
        <f>IF(LEN($B19)&lt;116,"",TRIM(MID($B19,82,35)))</f>
        <v/>
      </c>
      <c r="H19" s="37">
        <f>IF($E19="","",$E19/IF(ttAmountUnit="Paise",1,100))</f>
        <v/>
      </c>
      <c r="I19" s="32">
        <f>IF($G19="","",IF($J19=0,"-- no match --",INDEX(Entries!$B$5:$B$104,$J19)))</f>
        <v/>
      </c>
      <c r="J19" s="38">
        <f>IF($G19="","",SUMPRODUCT(MAX((Entries!$H$5:$H$104&lt;&gt;"")*ISNUMBER(SEARCH(Entries!$H$5:$H$104,$G19&amp;""))*(ROW(Entries!$H$5:$H$104)-4))))</f>
        <v/>
      </c>
    </row>
    <row r="20">
      <c r="A20" s="32" t="n">
        <v>11</v>
      </c>
      <c r="B20" s="33" t="n"/>
      <c r="C20" s="32">
        <f>IF(LEN($B20)&lt;14,"",TRIM(MID($B20,1,14)))</f>
        <v/>
      </c>
      <c r="D20" s="34">
        <f>IF(LEN($B20)&lt;22,"",DATE(VALUE(MID($B20,19,4)),VALUE(MID($B20,17,2)),VALUE(MID($B20,15,2))))</f>
        <v/>
      </c>
      <c r="E20" s="35">
        <f>IF(LEN($B20)&lt;45,"",VALUE(MID($B20,23,23)))</f>
        <v/>
      </c>
      <c r="F20" s="36">
        <f>IF(LEN($B20)&lt;46,"",MID($B20,46,1))</f>
        <v/>
      </c>
      <c r="G20" s="32">
        <f>IF(LEN($B20)&lt;116,"",TRIM(MID($B20,82,35)))</f>
        <v/>
      </c>
      <c r="H20" s="37">
        <f>IF($E20="","",$E20/IF(ttAmountUnit="Paise",1,100))</f>
        <v/>
      </c>
      <c r="I20" s="32">
        <f>IF($G20="","",IF($J20=0,"-- no match --",INDEX(Entries!$B$5:$B$104,$J20)))</f>
        <v/>
      </c>
      <c r="J20" s="38">
        <f>IF($G20="","",SUMPRODUCT(MAX((Entries!$H$5:$H$104&lt;&gt;"")*ISNUMBER(SEARCH(Entries!$H$5:$H$104,$G20&amp;""))*(ROW(Entries!$H$5:$H$104)-4))))</f>
        <v/>
      </c>
    </row>
    <row r="21">
      <c r="A21" s="32" t="n">
        <v>12</v>
      </c>
      <c r="B21" s="33" t="n"/>
      <c r="C21" s="32">
        <f>IF(LEN($B21)&lt;14,"",TRIM(MID($B21,1,14)))</f>
        <v/>
      </c>
      <c r="D21" s="34">
        <f>IF(LEN($B21)&lt;22,"",DATE(VALUE(MID($B21,19,4)),VALUE(MID($B21,17,2)),VALUE(MID($B21,15,2))))</f>
        <v/>
      </c>
      <c r="E21" s="35">
        <f>IF(LEN($B21)&lt;45,"",VALUE(MID($B21,23,23)))</f>
        <v/>
      </c>
      <c r="F21" s="36">
        <f>IF(LEN($B21)&lt;46,"",MID($B21,46,1))</f>
        <v/>
      </c>
      <c r="G21" s="32">
        <f>IF(LEN($B21)&lt;116,"",TRIM(MID($B21,82,35)))</f>
        <v/>
      </c>
      <c r="H21" s="37">
        <f>IF($E21="","",$E21/IF(ttAmountUnit="Paise",1,100))</f>
        <v/>
      </c>
      <c r="I21" s="32">
        <f>IF($G21="","",IF($J21=0,"-- no match --",INDEX(Entries!$B$5:$B$104,$J21)))</f>
        <v/>
      </c>
      <c r="J21" s="38">
        <f>IF($G21="","",SUMPRODUCT(MAX((Entries!$H$5:$H$104&lt;&gt;"")*ISNUMBER(SEARCH(Entries!$H$5:$H$104,$G21&amp;""))*(ROW(Entries!$H$5:$H$104)-4))))</f>
        <v/>
      </c>
    </row>
    <row r="22">
      <c r="A22" s="32" t="n">
        <v>13</v>
      </c>
      <c r="B22" s="33" t="n"/>
      <c r="C22" s="32">
        <f>IF(LEN($B22)&lt;14,"",TRIM(MID($B22,1,14)))</f>
        <v/>
      </c>
      <c r="D22" s="34">
        <f>IF(LEN($B22)&lt;22,"",DATE(VALUE(MID($B22,19,4)),VALUE(MID($B22,17,2)),VALUE(MID($B22,15,2))))</f>
        <v/>
      </c>
      <c r="E22" s="35">
        <f>IF(LEN($B22)&lt;45,"",VALUE(MID($B22,23,23)))</f>
        <v/>
      </c>
      <c r="F22" s="36">
        <f>IF(LEN($B22)&lt;46,"",MID($B22,46,1))</f>
        <v/>
      </c>
      <c r="G22" s="32">
        <f>IF(LEN($B22)&lt;116,"",TRIM(MID($B22,82,35)))</f>
        <v/>
      </c>
      <c r="H22" s="37">
        <f>IF($E22="","",$E22/IF(ttAmountUnit="Paise",1,100))</f>
        <v/>
      </c>
      <c r="I22" s="32">
        <f>IF($G22="","",IF($J22=0,"-- no match --",INDEX(Entries!$B$5:$B$104,$J22)))</f>
        <v/>
      </c>
      <c r="J22" s="38">
        <f>IF($G22="","",SUMPRODUCT(MAX((Entries!$H$5:$H$104&lt;&gt;"")*ISNUMBER(SEARCH(Entries!$H$5:$H$104,$G22&amp;""))*(ROW(Entries!$H$5:$H$104)-4))))</f>
        <v/>
      </c>
    </row>
    <row r="23">
      <c r="A23" s="32" t="n">
        <v>14</v>
      </c>
      <c r="B23" s="33" t="n"/>
      <c r="C23" s="32">
        <f>IF(LEN($B23)&lt;14,"",TRIM(MID($B23,1,14)))</f>
        <v/>
      </c>
      <c r="D23" s="34">
        <f>IF(LEN($B23)&lt;22,"",DATE(VALUE(MID($B23,19,4)),VALUE(MID($B23,17,2)),VALUE(MID($B23,15,2))))</f>
        <v/>
      </c>
      <c r="E23" s="35">
        <f>IF(LEN($B23)&lt;45,"",VALUE(MID($B23,23,23)))</f>
        <v/>
      </c>
      <c r="F23" s="36">
        <f>IF(LEN($B23)&lt;46,"",MID($B23,46,1))</f>
        <v/>
      </c>
      <c r="G23" s="32">
        <f>IF(LEN($B23)&lt;116,"",TRIM(MID($B23,82,35)))</f>
        <v/>
      </c>
      <c r="H23" s="37">
        <f>IF($E23="","",$E23/IF(ttAmountUnit="Paise",1,100))</f>
        <v/>
      </c>
      <c r="I23" s="32">
        <f>IF($G23="","",IF($J23=0,"-- no match --",INDEX(Entries!$B$5:$B$104,$J23)))</f>
        <v/>
      </c>
      <c r="J23" s="38">
        <f>IF($G23="","",SUMPRODUCT(MAX((Entries!$H$5:$H$104&lt;&gt;"")*ISNUMBER(SEARCH(Entries!$H$5:$H$104,$G23&amp;""))*(ROW(Entries!$H$5:$H$104)-4))))</f>
        <v/>
      </c>
    </row>
    <row r="24">
      <c r="A24" s="32" t="n">
        <v>15</v>
      </c>
      <c r="B24" s="33" t="n"/>
      <c r="C24" s="32">
        <f>IF(LEN($B24)&lt;14,"",TRIM(MID($B24,1,14)))</f>
        <v/>
      </c>
      <c r="D24" s="34">
        <f>IF(LEN($B24)&lt;22,"",DATE(VALUE(MID($B24,19,4)),VALUE(MID($B24,17,2)),VALUE(MID($B24,15,2))))</f>
        <v/>
      </c>
      <c r="E24" s="35">
        <f>IF(LEN($B24)&lt;45,"",VALUE(MID($B24,23,23)))</f>
        <v/>
      </c>
      <c r="F24" s="36">
        <f>IF(LEN($B24)&lt;46,"",MID($B24,46,1))</f>
        <v/>
      </c>
      <c r="G24" s="32">
        <f>IF(LEN($B24)&lt;116,"",TRIM(MID($B24,82,35)))</f>
        <v/>
      </c>
      <c r="H24" s="37">
        <f>IF($E24="","",$E24/IF(ttAmountUnit="Paise",1,100))</f>
        <v/>
      </c>
      <c r="I24" s="32">
        <f>IF($G24="","",IF($J24=0,"-- no match --",INDEX(Entries!$B$5:$B$104,$J24)))</f>
        <v/>
      </c>
      <c r="J24" s="38">
        <f>IF($G24="","",SUMPRODUCT(MAX((Entries!$H$5:$H$104&lt;&gt;"")*ISNUMBER(SEARCH(Entries!$H$5:$H$104,$G24&amp;""))*(ROW(Entries!$H$5:$H$104)-4))))</f>
        <v/>
      </c>
    </row>
    <row r="25">
      <c r="A25" s="32" t="n">
        <v>16</v>
      </c>
      <c r="B25" s="33" t="n"/>
      <c r="C25" s="32">
        <f>IF(LEN($B25)&lt;14,"",TRIM(MID($B25,1,14)))</f>
        <v/>
      </c>
      <c r="D25" s="34">
        <f>IF(LEN($B25)&lt;22,"",DATE(VALUE(MID($B25,19,4)),VALUE(MID($B25,17,2)),VALUE(MID($B25,15,2))))</f>
        <v/>
      </c>
      <c r="E25" s="35">
        <f>IF(LEN($B25)&lt;45,"",VALUE(MID($B25,23,23)))</f>
        <v/>
      </c>
      <c r="F25" s="36">
        <f>IF(LEN($B25)&lt;46,"",MID($B25,46,1))</f>
        <v/>
      </c>
      <c r="G25" s="32">
        <f>IF(LEN($B25)&lt;116,"",TRIM(MID($B25,82,35)))</f>
        <v/>
      </c>
      <c r="H25" s="37">
        <f>IF($E25="","",$E25/IF(ttAmountUnit="Paise",1,100))</f>
        <v/>
      </c>
      <c r="I25" s="32">
        <f>IF($G25="","",IF($J25=0,"-- no match --",INDEX(Entries!$B$5:$B$104,$J25)))</f>
        <v/>
      </c>
      <c r="J25" s="38">
        <f>IF($G25="","",SUMPRODUCT(MAX((Entries!$H$5:$H$104&lt;&gt;"")*ISNUMBER(SEARCH(Entries!$H$5:$H$104,$G25&amp;""))*(ROW(Entries!$H$5:$H$104)-4))))</f>
        <v/>
      </c>
    </row>
    <row r="26">
      <c r="A26" s="32" t="n">
        <v>17</v>
      </c>
      <c r="B26" s="33" t="n"/>
      <c r="C26" s="32">
        <f>IF(LEN($B26)&lt;14,"",TRIM(MID($B26,1,14)))</f>
        <v/>
      </c>
      <c r="D26" s="34">
        <f>IF(LEN($B26)&lt;22,"",DATE(VALUE(MID($B26,19,4)),VALUE(MID($B26,17,2)),VALUE(MID($B26,15,2))))</f>
        <v/>
      </c>
      <c r="E26" s="35">
        <f>IF(LEN($B26)&lt;45,"",VALUE(MID($B26,23,23)))</f>
        <v/>
      </c>
      <c r="F26" s="36">
        <f>IF(LEN($B26)&lt;46,"",MID($B26,46,1))</f>
        <v/>
      </c>
      <c r="G26" s="32">
        <f>IF(LEN($B26)&lt;116,"",TRIM(MID($B26,82,35)))</f>
        <v/>
      </c>
      <c r="H26" s="37">
        <f>IF($E26="","",$E26/IF(ttAmountUnit="Paise",1,100))</f>
        <v/>
      </c>
      <c r="I26" s="32">
        <f>IF($G26="","",IF($J26=0,"-- no match --",INDEX(Entries!$B$5:$B$104,$J26)))</f>
        <v/>
      </c>
      <c r="J26" s="38">
        <f>IF($G26="","",SUMPRODUCT(MAX((Entries!$H$5:$H$104&lt;&gt;"")*ISNUMBER(SEARCH(Entries!$H$5:$H$104,$G26&amp;""))*(ROW(Entries!$H$5:$H$104)-4))))</f>
        <v/>
      </c>
    </row>
    <row r="27">
      <c r="A27" s="32" t="n">
        <v>18</v>
      </c>
      <c r="B27" s="33" t="n"/>
      <c r="C27" s="32">
        <f>IF(LEN($B27)&lt;14,"",TRIM(MID($B27,1,14)))</f>
        <v/>
      </c>
      <c r="D27" s="34">
        <f>IF(LEN($B27)&lt;22,"",DATE(VALUE(MID($B27,19,4)),VALUE(MID($B27,17,2)),VALUE(MID($B27,15,2))))</f>
        <v/>
      </c>
      <c r="E27" s="35">
        <f>IF(LEN($B27)&lt;45,"",VALUE(MID($B27,23,23)))</f>
        <v/>
      </c>
      <c r="F27" s="36">
        <f>IF(LEN($B27)&lt;46,"",MID($B27,46,1))</f>
        <v/>
      </c>
      <c r="G27" s="32">
        <f>IF(LEN($B27)&lt;116,"",TRIM(MID($B27,82,35)))</f>
        <v/>
      </c>
      <c r="H27" s="37">
        <f>IF($E27="","",$E27/IF(ttAmountUnit="Paise",1,100))</f>
        <v/>
      </c>
      <c r="I27" s="32">
        <f>IF($G27="","",IF($J27=0,"-- no match --",INDEX(Entries!$B$5:$B$104,$J27)))</f>
        <v/>
      </c>
      <c r="J27" s="38">
        <f>IF($G27="","",SUMPRODUCT(MAX((Entries!$H$5:$H$104&lt;&gt;"")*ISNUMBER(SEARCH(Entries!$H$5:$H$104,$G27&amp;""))*(ROW(Entries!$H$5:$H$104)-4))))</f>
        <v/>
      </c>
    </row>
    <row r="28">
      <c r="A28" s="32" t="n">
        <v>19</v>
      </c>
      <c r="B28" s="33" t="n"/>
      <c r="C28" s="32">
        <f>IF(LEN($B28)&lt;14,"",TRIM(MID($B28,1,14)))</f>
        <v/>
      </c>
      <c r="D28" s="34">
        <f>IF(LEN($B28)&lt;22,"",DATE(VALUE(MID($B28,19,4)),VALUE(MID($B28,17,2)),VALUE(MID($B28,15,2))))</f>
        <v/>
      </c>
      <c r="E28" s="35">
        <f>IF(LEN($B28)&lt;45,"",VALUE(MID($B28,23,23)))</f>
        <v/>
      </c>
      <c r="F28" s="36">
        <f>IF(LEN($B28)&lt;46,"",MID($B28,46,1))</f>
        <v/>
      </c>
      <c r="G28" s="32">
        <f>IF(LEN($B28)&lt;116,"",TRIM(MID($B28,82,35)))</f>
        <v/>
      </c>
      <c r="H28" s="37">
        <f>IF($E28="","",$E28/IF(ttAmountUnit="Paise",1,100))</f>
        <v/>
      </c>
      <c r="I28" s="32">
        <f>IF($G28="","",IF($J28=0,"-- no match --",INDEX(Entries!$B$5:$B$104,$J28)))</f>
        <v/>
      </c>
      <c r="J28" s="38">
        <f>IF($G28="","",SUMPRODUCT(MAX((Entries!$H$5:$H$104&lt;&gt;"")*ISNUMBER(SEARCH(Entries!$H$5:$H$104,$G28&amp;""))*(ROW(Entries!$H$5:$H$104)-4))))</f>
        <v/>
      </c>
    </row>
    <row r="29">
      <c r="A29" s="32" t="n">
        <v>20</v>
      </c>
      <c r="B29" s="33" t="n"/>
      <c r="C29" s="32">
        <f>IF(LEN($B29)&lt;14,"",TRIM(MID($B29,1,14)))</f>
        <v/>
      </c>
      <c r="D29" s="34">
        <f>IF(LEN($B29)&lt;22,"",DATE(VALUE(MID($B29,19,4)),VALUE(MID($B29,17,2)),VALUE(MID($B29,15,2))))</f>
        <v/>
      </c>
      <c r="E29" s="35">
        <f>IF(LEN($B29)&lt;45,"",VALUE(MID($B29,23,23)))</f>
        <v/>
      </c>
      <c r="F29" s="36">
        <f>IF(LEN($B29)&lt;46,"",MID($B29,46,1))</f>
        <v/>
      </c>
      <c r="G29" s="32">
        <f>IF(LEN($B29)&lt;116,"",TRIM(MID($B29,82,35)))</f>
        <v/>
      </c>
      <c r="H29" s="37">
        <f>IF($E29="","",$E29/IF(ttAmountUnit="Paise",1,100))</f>
        <v/>
      </c>
      <c r="I29" s="32">
        <f>IF($G29="","",IF($J29=0,"-- no match --",INDEX(Entries!$B$5:$B$104,$J29)))</f>
        <v/>
      </c>
      <c r="J29" s="38">
        <f>IF($G29="","",SUMPRODUCT(MAX((Entries!$H$5:$H$104&lt;&gt;"")*ISNUMBER(SEARCH(Entries!$H$5:$H$104,$G29&amp;""))*(ROW(Entries!$H$5:$H$104)-4))))</f>
        <v/>
      </c>
    </row>
    <row r="30">
      <c r="A30" s="32" t="n">
        <v>21</v>
      </c>
      <c r="B30" s="33" t="n"/>
      <c r="C30" s="32">
        <f>IF(LEN($B30)&lt;14,"",TRIM(MID($B30,1,14)))</f>
        <v/>
      </c>
      <c r="D30" s="34">
        <f>IF(LEN($B30)&lt;22,"",DATE(VALUE(MID($B30,19,4)),VALUE(MID($B30,17,2)),VALUE(MID($B30,15,2))))</f>
        <v/>
      </c>
      <c r="E30" s="35">
        <f>IF(LEN($B30)&lt;45,"",VALUE(MID($B30,23,23)))</f>
        <v/>
      </c>
      <c r="F30" s="36">
        <f>IF(LEN($B30)&lt;46,"",MID($B30,46,1))</f>
        <v/>
      </c>
      <c r="G30" s="32">
        <f>IF(LEN($B30)&lt;116,"",TRIM(MID($B30,82,35)))</f>
        <v/>
      </c>
      <c r="H30" s="37">
        <f>IF($E30="","",$E30/IF(ttAmountUnit="Paise",1,100))</f>
        <v/>
      </c>
      <c r="I30" s="32">
        <f>IF($G30="","",IF($J30=0,"-- no match --",INDEX(Entries!$B$5:$B$104,$J30)))</f>
        <v/>
      </c>
      <c r="J30" s="38">
        <f>IF($G30="","",SUMPRODUCT(MAX((Entries!$H$5:$H$104&lt;&gt;"")*ISNUMBER(SEARCH(Entries!$H$5:$H$104,$G30&amp;""))*(ROW(Entries!$H$5:$H$104)-4))))</f>
        <v/>
      </c>
    </row>
    <row r="31">
      <c r="A31" s="32" t="n">
        <v>22</v>
      </c>
      <c r="B31" s="33" t="n"/>
      <c r="C31" s="32">
        <f>IF(LEN($B31)&lt;14,"",TRIM(MID($B31,1,14)))</f>
        <v/>
      </c>
      <c r="D31" s="34">
        <f>IF(LEN($B31)&lt;22,"",DATE(VALUE(MID($B31,19,4)),VALUE(MID($B31,17,2)),VALUE(MID($B31,15,2))))</f>
        <v/>
      </c>
      <c r="E31" s="35">
        <f>IF(LEN($B31)&lt;45,"",VALUE(MID($B31,23,23)))</f>
        <v/>
      </c>
      <c r="F31" s="36">
        <f>IF(LEN($B31)&lt;46,"",MID($B31,46,1))</f>
        <v/>
      </c>
      <c r="G31" s="32">
        <f>IF(LEN($B31)&lt;116,"",TRIM(MID($B31,82,35)))</f>
        <v/>
      </c>
      <c r="H31" s="37">
        <f>IF($E31="","",$E31/IF(ttAmountUnit="Paise",1,100))</f>
        <v/>
      </c>
      <c r="I31" s="32">
        <f>IF($G31="","",IF($J31=0,"-- no match --",INDEX(Entries!$B$5:$B$104,$J31)))</f>
        <v/>
      </c>
      <c r="J31" s="38">
        <f>IF($G31="","",SUMPRODUCT(MAX((Entries!$H$5:$H$104&lt;&gt;"")*ISNUMBER(SEARCH(Entries!$H$5:$H$104,$G31&amp;""))*(ROW(Entries!$H$5:$H$104)-4))))</f>
        <v/>
      </c>
    </row>
    <row r="32">
      <c r="A32" s="32" t="n">
        <v>23</v>
      </c>
      <c r="B32" s="33" t="n"/>
      <c r="C32" s="32">
        <f>IF(LEN($B32)&lt;14,"",TRIM(MID($B32,1,14)))</f>
        <v/>
      </c>
      <c r="D32" s="34">
        <f>IF(LEN($B32)&lt;22,"",DATE(VALUE(MID($B32,19,4)),VALUE(MID($B32,17,2)),VALUE(MID($B32,15,2))))</f>
        <v/>
      </c>
      <c r="E32" s="35">
        <f>IF(LEN($B32)&lt;45,"",VALUE(MID($B32,23,23)))</f>
        <v/>
      </c>
      <c r="F32" s="36">
        <f>IF(LEN($B32)&lt;46,"",MID($B32,46,1))</f>
        <v/>
      </c>
      <c r="G32" s="32">
        <f>IF(LEN($B32)&lt;116,"",TRIM(MID($B32,82,35)))</f>
        <v/>
      </c>
      <c r="H32" s="37">
        <f>IF($E32="","",$E32/IF(ttAmountUnit="Paise",1,100))</f>
        <v/>
      </c>
      <c r="I32" s="32">
        <f>IF($G32="","",IF($J32=0,"-- no match --",INDEX(Entries!$B$5:$B$104,$J32)))</f>
        <v/>
      </c>
      <c r="J32" s="38">
        <f>IF($G32="","",SUMPRODUCT(MAX((Entries!$H$5:$H$104&lt;&gt;"")*ISNUMBER(SEARCH(Entries!$H$5:$H$104,$G32&amp;""))*(ROW(Entries!$H$5:$H$104)-4))))</f>
        <v/>
      </c>
    </row>
    <row r="33">
      <c r="A33" s="32" t="n">
        <v>24</v>
      </c>
      <c r="B33" s="33" t="n"/>
      <c r="C33" s="32">
        <f>IF(LEN($B33)&lt;14,"",TRIM(MID($B33,1,14)))</f>
        <v/>
      </c>
      <c r="D33" s="34">
        <f>IF(LEN($B33)&lt;22,"",DATE(VALUE(MID($B33,19,4)),VALUE(MID($B33,17,2)),VALUE(MID($B33,15,2))))</f>
        <v/>
      </c>
      <c r="E33" s="35">
        <f>IF(LEN($B33)&lt;45,"",VALUE(MID($B33,23,23)))</f>
        <v/>
      </c>
      <c r="F33" s="36">
        <f>IF(LEN($B33)&lt;46,"",MID($B33,46,1))</f>
        <v/>
      </c>
      <c r="G33" s="32">
        <f>IF(LEN($B33)&lt;116,"",TRIM(MID($B33,82,35)))</f>
        <v/>
      </c>
      <c r="H33" s="37">
        <f>IF($E33="","",$E33/IF(ttAmountUnit="Paise",1,100))</f>
        <v/>
      </c>
      <c r="I33" s="32">
        <f>IF($G33="","",IF($J33=0,"-- no match --",INDEX(Entries!$B$5:$B$104,$J33)))</f>
        <v/>
      </c>
      <c r="J33" s="38">
        <f>IF($G33="","",SUMPRODUCT(MAX((Entries!$H$5:$H$104&lt;&gt;"")*ISNUMBER(SEARCH(Entries!$H$5:$H$104,$G33&amp;""))*(ROW(Entries!$H$5:$H$104)-4))))</f>
        <v/>
      </c>
    </row>
    <row r="34">
      <c r="A34" s="32" t="n">
        <v>25</v>
      </c>
      <c r="B34" s="33" t="n"/>
      <c r="C34" s="32">
        <f>IF(LEN($B34)&lt;14,"",TRIM(MID($B34,1,14)))</f>
        <v/>
      </c>
      <c r="D34" s="34">
        <f>IF(LEN($B34)&lt;22,"",DATE(VALUE(MID($B34,19,4)),VALUE(MID($B34,17,2)),VALUE(MID($B34,15,2))))</f>
        <v/>
      </c>
      <c r="E34" s="35">
        <f>IF(LEN($B34)&lt;45,"",VALUE(MID($B34,23,23)))</f>
        <v/>
      </c>
      <c r="F34" s="36">
        <f>IF(LEN($B34)&lt;46,"",MID($B34,46,1))</f>
        <v/>
      </c>
      <c r="G34" s="32">
        <f>IF(LEN($B34)&lt;116,"",TRIM(MID($B34,82,35)))</f>
        <v/>
      </c>
      <c r="H34" s="37">
        <f>IF($E34="","",$E34/IF(ttAmountUnit="Paise",1,100))</f>
        <v/>
      </c>
      <c r="I34" s="32">
        <f>IF($G34="","",IF($J34=0,"-- no match --",INDEX(Entries!$B$5:$B$104,$J34)))</f>
        <v/>
      </c>
      <c r="J34" s="38">
        <f>IF($G34="","",SUMPRODUCT(MAX((Entries!$H$5:$H$104&lt;&gt;"")*ISNUMBER(SEARCH(Entries!$H$5:$H$104,$G34&amp;""))*(ROW(Entries!$H$5:$H$104)-4))))</f>
        <v/>
      </c>
    </row>
    <row r="35">
      <c r="A35" s="32" t="n">
        <v>26</v>
      </c>
      <c r="B35" s="33" t="n"/>
      <c r="C35" s="32">
        <f>IF(LEN($B35)&lt;14,"",TRIM(MID($B35,1,14)))</f>
        <v/>
      </c>
      <c r="D35" s="34">
        <f>IF(LEN($B35)&lt;22,"",DATE(VALUE(MID($B35,19,4)),VALUE(MID($B35,17,2)),VALUE(MID($B35,15,2))))</f>
        <v/>
      </c>
      <c r="E35" s="35">
        <f>IF(LEN($B35)&lt;45,"",VALUE(MID($B35,23,23)))</f>
        <v/>
      </c>
      <c r="F35" s="36">
        <f>IF(LEN($B35)&lt;46,"",MID($B35,46,1))</f>
        <v/>
      </c>
      <c r="G35" s="32">
        <f>IF(LEN($B35)&lt;116,"",TRIM(MID($B35,82,35)))</f>
        <v/>
      </c>
      <c r="H35" s="37">
        <f>IF($E35="","",$E35/IF(ttAmountUnit="Paise",1,100))</f>
        <v/>
      </c>
      <c r="I35" s="32">
        <f>IF($G35="","",IF($J35=0,"-- no match --",INDEX(Entries!$B$5:$B$104,$J35)))</f>
        <v/>
      </c>
      <c r="J35" s="38">
        <f>IF($G35="","",SUMPRODUCT(MAX((Entries!$H$5:$H$104&lt;&gt;"")*ISNUMBER(SEARCH(Entries!$H$5:$H$104,$G35&amp;""))*(ROW(Entries!$H$5:$H$104)-4))))</f>
        <v/>
      </c>
    </row>
    <row r="36">
      <c r="A36" s="32" t="n">
        <v>27</v>
      </c>
      <c r="B36" s="33" t="n"/>
      <c r="C36" s="32">
        <f>IF(LEN($B36)&lt;14,"",TRIM(MID($B36,1,14)))</f>
        <v/>
      </c>
      <c r="D36" s="34">
        <f>IF(LEN($B36)&lt;22,"",DATE(VALUE(MID($B36,19,4)),VALUE(MID($B36,17,2)),VALUE(MID($B36,15,2))))</f>
        <v/>
      </c>
      <c r="E36" s="35">
        <f>IF(LEN($B36)&lt;45,"",VALUE(MID($B36,23,23)))</f>
        <v/>
      </c>
      <c r="F36" s="36">
        <f>IF(LEN($B36)&lt;46,"",MID($B36,46,1))</f>
        <v/>
      </c>
      <c r="G36" s="32">
        <f>IF(LEN($B36)&lt;116,"",TRIM(MID($B36,82,35)))</f>
        <v/>
      </c>
      <c r="H36" s="37">
        <f>IF($E36="","",$E36/IF(ttAmountUnit="Paise",1,100))</f>
        <v/>
      </c>
      <c r="I36" s="32">
        <f>IF($G36="","",IF($J36=0,"-- no match --",INDEX(Entries!$B$5:$B$104,$J36)))</f>
        <v/>
      </c>
      <c r="J36" s="38">
        <f>IF($G36="","",SUMPRODUCT(MAX((Entries!$H$5:$H$104&lt;&gt;"")*ISNUMBER(SEARCH(Entries!$H$5:$H$104,$G36&amp;""))*(ROW(Entries!$H$5:$H$104)-4))))</f>
        <v/>
      </c>
    </row>
    <row r="37">
      <c r="A37" s="32" t="n">
        <v>28</v>
      </c>
      <c r="B37" s="33" t="n"/>
      <c r="C37" s="32">
        <f>IF(LEN($B37)&lt;14,"",TRIM(MID($B37,1,14)))</f>
        <v/>
      </c>
      <c r="D37" s="34">
        <f>IF(LEN($B37)&lt;22,"",DATE(VALUE(MID($B37,19,4)),VALUE(MID($B37,17,2)),VALUE(MID($B37,15,2))))</f>
        <v/>
      </c>
      <c r="E37" s="35">
        <f>IF(LEN($B37)&lt;45,"",VALUE(MID($B37,23,23)))</f>
        <v/>
      </c>
      <c r="F37" s="36">
        <f>IF(LEN($B37)&lt;46,"",MID($B37,46,1))</f>
        <v/>
      </c>
      <c r="G37" s="32">
        <f>IF(LEN($B37)&lt;116,"",TRIM(MID($B37,82,35)))</f>
        <v/>
      </c>
      <c r="H37" s="37">
        <f>IF($E37="","",$E37/IF(ttAmountUnit="Paise",1,100))</f>
        <v/>
      </c>
      <c r="I37" s="32">
        <f>IF($G37="","",IF($J37=0,"-- no match --",INDEX(Entries!$B$5:$B$104,$J37)))</f>
        <v/>
      </c>
      <c r="J37" s="38">
        <f>IF($G37="","",SUMPRODUCT(MAX((Entries!$H$5:$H$104&lt;&gt;"")*ISNUMBER(SEARCH(Entries!$H$5:$H$104,$G37&amp;""))*(ROW(Entries!$H$5:$H$104)-4))))</f>
        <v/>
      </c>
    </row>
    <row r="38">
      <c r="A38" s="32" t="n">
        <v>29</v>
      </c>
      <c r="B38" s="33" t="n"/>
      <c r="C38" s="32">
        <f>IF(LEN($B38)&lt;14,"",TRIM(MID($B38,1,14)))</f>
        <v/>
      </c>
      <c r="D38" s="34">
        <f>IF(LEN($B38)&lt;22,"",DATE(VALUE(MID($B38,19,4)),VALUE(MID($B38,17,2)),VALUE(MID($B38,15,2))))</f>
        <v/>
      </c>
      <c r="E38" s="35">
        <f>IF(LEN($B38)&lt;45,"",VALUE(MID($B38,23,23)))</f>
        <v/>
      </c>
      <c r="F38" s="36">
        <f>IF(LEN($B38)&lt;46,"",MID($B38,46,1))</f>
        <v/>
      </c>
      <c r="G38" s="32">
        <f>IF(LEN($B38)&lt;116,"",TRIM(MID($B38,82,35)))</f>
        <v/>
      </c>
      <c r="H38" s="37">
        <f>IF($E38="","",$E38/IF(ttAmountUnit="Paise",1,100))</f>
        <v/>
      </c>
      <c r="I38" s="32">
        <f>IF($G38="","",IF($J38=0,"-- no match --",INDEX(Entries!$B$5:$B$104,$J38)))</f>
        <v/>
      </c>
      <c r="J38" s="38">
        <f>IF($G38="","",SUMPRODUCT(MAX((Entries!$H$5:$H$104&lt;&gt;"")*ISNUMBER(SEARCH(Entries!$H$5:$H$104,$G38&amp;""))*(ROW(Entries!$H$5:$H$104)-4))))</f>
        <v/>
      </c>
    </row>
    <row r="39">
      <c r="A39" s="32" t="n">
        <v>30</v>
      </c>
      <c r="B39" s="33" t="n"/>
      <c r="C39" s="32">
        <f>IF(LEN($B39)&lt;14,"",TRIM(MID($B39,1,14)))</f>
        <v/>
      </c>
      <c r="D39" s="34">
        <f>IF(LEN($B39)&lt;22,"",DATE(VALUE(MID($B39,19,4)),VALUE(MID($B39,17,2)),VALUE(MID($B39,15,2))))</f>
        <v/>
      </c>
      <c r="E39" s="35">
        <f>IF(LEN($B39)&lt;45,"",VALUE(MID($B39,23,23)))</f>
        <v/>
      </c>
      <c r="F39" s="36">
        <f>IF(LEN($B39)&lt;46,"",MID($B39,46,1))</f>
        <v/>
      </c>
      <c r="G39" s="32">
        <f>IF(LEN($B39)&lt;116,"",TRIM(MID($B39,82,35)))</f>
        <v/>
      </c>
      <c r="H39" s="37">
        <f>IF($E39="","",$E39/IF(ttAmountUnit="Paise",1,100))</f>
        <v/>
      </c>
      <c r="I39" s="32">
        <f>IF($G39="","",IF($J39=0,"-- no match --",INDEX(Entries!$B$5:$B$104,$J39)))</f>
        <v/>
      </c>
      <c r="J39" s="38">
        <f>IF($G39="","",SUMPRODUCT(MAX((Entries!$H$5:$H$104&lt;&gt;"")*ISNUMBER(SEARCH(Entries!$H$5:$H$104,$G39&amp;""))*(ROW(Entries!$H$5:$H$104)-4))))</f>
        <v/>
      </c>
    </row>
    <row r="40">
      <c r="A40" s="32" t="n">
        <v>31</v>
      </c>
      <c r="B40" s="33" t="n"/>
      <c r="C40" s="32">
        <f>IF(LEN($B40)&lt;14,"",TRIM(MID($B40,1,14)))</f>
        <v/>
      </c>
      <c r="D40" s="34">
        <f>IF(LEN($B40)&lt;22,"",DATE(VALUE(MID($B40,19,4)),VALUE(MID($B40,17,2)),VALUE(MID($B40,15,2))))</f>
        <v/>
      </c>
      <c r="E40" s="35">
        <f>IF(LEN($B40)&lt;45,"",VALUE(MID($B40,23,23)))</f>
        <v/>
      </c>
      <c r="F40" s="36">
        <f>IF(LEN($B40)&lt;46,"",MID($B40,46,1))</f>
        <v/>
      </c>
      <c r="G40" s="32">
        <f>IF(LEN($B40)&lt;116,"",TRIM(MID($B40,82,35)))</f>
        <v/>
      </c>
      <c r="H40" s="37">
        <f>IF($E40="","",$E40/IF(ttAmountUnit="Paise",1,100))</f>
        <v/>
      </c>
      <c r="I40" s="32">
        <f>IF($G40="","",IF($J40=0,"-- no match --",INDEX(Entries!$B$5:$B$104,$J40)))</f>
        <v/>
      </c>
      <c r="J40" s="38">
        <f>IF($G40="","",SUMPRODUCT(MAX((Entries!$H$5:$H$104&lt;&gt;"")*ISNUMBER(SEARCH(Entries!$H$5:$H$104,$G40&amp;""))*(ROW(Entries!$H$5:$H$104)-4))))</f>
        <v/>
      </c>
    </row>
    <row r="41">
      <c r="A41" s="32" t="n">
        <v>32</v>
      </c>
      <c r="B41" s="33" t="n"/>
      <c r="C41" s="32">
        <f>IF(LEN($B41)&lt;14,"",TRIM(MID($B41,1,14)))</f>
        <v/>
      </c>
      <c r="D41" s="34">
        <f>IF(LEN($B41)&lt;22,"",DATE(VALUE(MID($B41,19,4)),VALUE(MID($B41,17,2)),VALUE(MID($B41,15,2))))</f>
        <v/>
      </c>
      <c r="E41" s="35">
        <f>IF(LEN($B41)&lt;45,"",VALUE(MID($B41,23,23)))</f>
        <v/>
      </c>
      <c r="F41" s="36">
        <f>IF(LEN($B41)&lt;46,"",MID($B41,46,1))</f>
        <v/>
      </c>
      <c r="G41" s="32">
        <f>IF(LEN($B41)&lt;116,"",TRIM(MID($B41,82,35)))</f>
        <v/>
      </c>
      <c r="H41" s="37">
        <f>IF($E41="","",$E41/IF(ttAmountUnit="Paise",1,100))</f>
        <v/>
      </c>
      <c r="I41" s="32">
        <f>IF($G41="","",IF($J41=0,"-- no match --",INDEX(Entries!$B$5:$B$104,$J41)))</f>
        <v/>
      </c>
      <c r="J41" s="38">
        <f>IF($G41="","",SUMPRODUCT(MAX((Entries!$H$5:$H$104&lt;&gt;"")*ISNUMBER(SEARCH(Entries!$H$5:$H$104,$G41&amp;""))*(ROW(Entries!$H$5:$H$104)-4))))</f>
        <v/>
      </c>
    </row>
    <row r="42">
      <c r="A42" s="32" t="n">
        <v>33</v>
      </c>
      <c r="B42" s="33" t="n"/>
      <c r="C42" s="32">
        <f>IF(LEN($B42)&lt;14,"",TRIM(MID($B42,1,14)))</f>
        <v/>
      </c>
      <c r="D42" s="34">
        <f>IF(LEN($B42)&lt;22,"",DATE(VALUE(MID($B42,19,4)),VALUE(MID($B42,17,2)),VALUE(MID($B42,15,2))))</f>
        <v/>
      </c>
      <c r="E42" s="35">
        <f>IF(LEN($B42)&lt;45,"",VALUE(MID($B42,23,23)))</f>
        <v/>
      </c>
      <c r="F42" s="36">
        <f>IF(LEN($B42)&lt;46,"",MID($B42,46,1))</f>
        <v/>
      </c>
      <c r="G42" s="32">
        <f>IF(LEN($B42)&lt;116,"",TRIM(MID($B42,82,35)))</f>
        <v/>
      </c>
      <c r="H42" s="37">
        <f>IF($E42="","",$E42/IF(ttAmountUnit="Paise",1,100))</f>
        <v/>
      </c>
      <c r="I42" s="32">
        <f>IF($G42="","",IF($J42=0,"-- no match --",INDEX(Entries!$B$5:$B$104,$J42)))</f>
        <v/>
      </c>
      <c r="J42" s="38">
        <f>IF($G42="","",SUMPRODUCT(MAX((Entries!$H$5:$H$104&lt;&gt;"")*ISNUMBER(SEARCH(Entries!$H$5:$H$104,$G42&amp;""))*(ROW(Entries!$H$5:$H$104)-4))))</f>
        <v/>
      </c>
    </row>
    <row r="43">
      <c r="A43" s="32" t="n">
        <v>34</v>
      </c>
      <c r="B43" s="33" t="n"/>
      <c r="C43" s="32">
        <f>IF(LEN($B43)&lt;14,"",TRIM(MID($B43,1,14)))</f>
        <v/>
      </c>
      <c r="D43" s="34">
        <f>IF(LEN($B43)&lt;22,"",DATE(VALUE(MID($B43,19,4)),VALUE(MID($B43,17,2)),VALUE(MID($B43,15,2))))</f>
        <v/>
      </c>
      <c r="E43" s="35">
        <f>IF(LEN($B43)&lt;45,"",VALUE(MID($B43,23,23)))</f>
        <v/>
      </c>
      <c r="F43" s="36">
        <f>IF(LEN($B43)&lt;46,"",MID($B43,46,1))</f>
        <v/>
      </c>
      <c r="G43" s="32">
        <f>IF(LEN($B43)&lt;116,"",TRIM(MID($B43,82,35)))</f>
        <v/>
      </c>
      <c r="H43" s="37">
        <f>IF($E43="","",$E43/IF(ttAmountUnit="Paise",1,100))</f>
        <v/>
      </c>
      <c r="I43" s="32">
        <f>IF($G43="","",IF($J43=0,"-- no match --",INDEX(Entries!$B$5:$B$104,$J43)))</f>
        <v/>
      </c>
      <c r="J43" s="38">
        <f>IF($G43="","",SUMPRODUCT(MAX((Entries!$H$5:$H$104&lt;&gt;"")*ISNUMBER(SEARCH(Entries!$H$5:$H$104,$G43&amp;""))*(ROW(Entries!$H$5:$H$104)-4))))</f>
        <v/>
      </c>
    </row>
    <row r="44">
      <c r="A44" s="32" t="n">
        <v>35</v>
      </c>
      <c r="B44" s="33" t="n"/>
      <c r="C44" s="32">
        <f>IF(LEN($B44)&lt;14,"",TRIM(MID($B44,1,14)))</f>
        <v/>
      </c>
      <c r="D44" s="34">
        <f>IF(LEN($B44)&lt;22,"",DATE(VALUE(MID($B44,19,4)),VALUE(MID($B44,17,2)),VALUE(MID($B44,15,2))))</f>
        <v/>
      </c>
      <c r="E44" s="35">
        <f>IF(LEN($B44)&lt;45,"",VALUE(MID($B44,23,23)))</f>
        <v/>
      </c>
      <c r="F44" s="36">
        <f>IF(LEN($B44)&lt;46,"",MID($B44,46,1))</f>
        <v/>
      </c>
      <c r="G44" s="32">
        <f>IF(LEN($B44)&lt;116,"",TRIM(MID($B44,82,35)))</f>
        <v/>
      </c>
      <c r="H44" s="37">
        <f>IF($E44="","",$E44/IF(ttAmountUnit="Paise",1,100))</f>
        <v/>
      </c>
      <c r="I44" s="32">
        <f>IF($G44="","",IF($J44=0,"-- no match --",INDEX(Entries!$B$5:$B$104,$J44)))</f>
        <v/>
      </c>
      <c r="J44" s="38">
        <f>IF($G44="","",SUMPRODUCT(MAX((Entries!$H$5:$H$104&lt;&gt;"")*ISNUMBER(SEARCH(Entries!$H$5:$H$104,$G44&amp;""))*(ROW(Entries!$H$5:$H$104)-4))))</f>
        <v/>
      </c>
    </row>
    <row r="45">
      <c r="A45" s="32" t="n">
        <v>36</v>
      </c>
      <c r="B45" s="33" t="n"/>
      <c r="C45" s="32">
        <f>IF(LEN($B45)&lt;14,"",TRIM(MID($B45,1,14)))</f>
        <v/>
      </c>
      <c r="D45" s="34">
        <f>IF(LEN($B45)&lt;22,"",DATE(VALUE(MID($B45,19,4)),VALUE(MID($B45,17,2)),VALUE(MID($B45,15,2))))</f>
        <v/>
      </c>
      <c r="E45" s="35">
        <f>IF(LEN($B45)&lt;45,"",VALUE(MID($B45,23,23)))</f>
        <v/>
      </c>
      <c r="F45" s="36">
        <f>IF(LEN($B45)&lt;46,"",MID($B45,46,1))</f>
        <v/>
      </c>
      <c r="G45" s="32">
        <f>IF(LEN($B45)&lt;116,"",TRIM(MID($B45,82,35)))</f>
        <v/>
      </c>
      <c r="H45" s="37">
        <f>IF($E45="","",$E45/IF(ttAmountUnit="Paise",1,100))</f>
        <v/>
      </c>
      <c r="I45" s="32">
        <f>IF($G45="","",IF($J45=0,"-- no match --",INDEX(Entries!$B$5:$B$104,$J45)))</f>
        <v/>
      </c>
      <c r="J45" s="38">
        <f>IF($G45="","",SUMPRODUCT(MAX((Entries!$H$5:$H$104&lt;&gt;"")*ISNUMBER(SEARCH(Entries!$H$5:$H$104,$G45&amp;""))*(ROW(Entries!$H$5:$H$104)-4))))</f>
        <v/>
      </c>
    </row>
    <row r="46">
      <c r="A46" s="32" t="n">
        <v>37</v>
      </c>
      <c r="B46" s="33" t="n"/>
      <c r="C46" s="32">
        <f>IF(LEN($B46)&lt;14,"",TRIM(MID($B46,1,14)))</f>
        <v/>
      </c>
      <c r="D46" s="34">
        <f>IF(LEN($B46)&lt;22,"",DATE(VALUE(MID($B46,19,4)),VALUE(MID($B46,17,2)),VALUE(MID($B46,15,2))))</f>
        <v/>
      </c>
      <c r="E46" s="35">
        <f>IF(LEN($B46)&lt;45,"",VALUE(MID($B46,23,23)))</f>
        <v/>
      </c>
      <c r="F46" s="36">
        <f>IF(LEN($B46)&lt;46,"",MID($B46,46,1))</f>
        <v/>
      </c>
      <c r="G46" s="32">
        <f>IF(LEN($B46)&lt;116,"",TRIM(MID($B46,82,35)))</f>
        <v/>
      </c>
      <c r="H46" s="37">
        <f>IF($E46="","",$E46/IF(ttAmountUnit="Paise",1,100))</f>
        <v/>
      </c>
      <c r="I46" s="32">
        <f>IF($G46="","",IF($J46=0,"-- no match --",INDEX(Entries!$B$5:$B$104,$J46)))</f>
        <v/>
      </c>
      <c r="J46" s="38">
        <f>IF($G46="","",SUMPRODUCT(MAX((Entries!$H$5:$H$104&lt;&gt;"")*ISNUMBER(SEARCH(Entries!$H$5:$H$104,$G46&amp;""))*(ROW(Entries!$H$5:$H$104)-4))))</f>
        <v/>
      </c>
    </row>
    <row r="47">
      <c r="A47" s="32" t="n">
        <v>38</v>
      </c>
      <c r="B47" s="33" t="n"/>
      <c r="C47" s="32">
        <f>IF(LEN($B47)&lt;14,"",TRIM(MID($B47,1,14)))</f>
        <v/>
      </c>
      <c r="D47" s="34">
        <f>IF(LEN($B47)&lt;22,"",DATE(VALUE(MID($B47,19,4)),VALUE(MID($B47,17,2)),VALUE(MID($B47,15,2))))</f>
        <v/>
      </c>
      <c r="E47" s="35">
        <f>IF(LEN($B47)&lt;45,"",VALUE(MID($B47,23,23)))</f>
        <v/>
      </c>
      <c r="F47" s="36">
        <f>IF(LEN($B47)&lt;46,"",MID($B47,46,1))</f>
        <v/>
      </c>
      <c r="G47" s="32">
        <f>IF(LEN($B47)&lt;116,"",TRIM(MID($B47,82,35)))</f>
        <v/>
      </c>
      <c r="H47" s="37">
        <f>IF($E47="","",$E47/IF(ttAmountUnit="Paise",1,100))</f>
        <v/>
      </c>
      <c r="I47" s="32">
        <f>IF($G47="","",IF($J47=0,"-- no match --",INDEX(Entries!$B$5:$B$104,$J47)))</f>
        <v/>
      </c>
      <c r="J47" s="38">
        <f>IF($G47="","",SUMPRODUCT(MAX((Entries!$H$5:$H$104&lt;&gt;"")*ISNUMBER(SEARCH(Entries!$H$5:$H$104,$G47&amp;""))*(ROW(Entries!$H$5:$H$104)-4))))</f>
        <v/>
      </c>
    </row>
    <row r="48">
      <c r="A48" s="32" t="n">
        <v>39</v>
      </c>
      <c r="B48" s="33" t="n"/>
      <c r="C48" s="32">
        <f>IF(LEN($B48)&lt;14,"",TRIM(MID($B48,1,14)))</f>
        <v/>
      </c>
      <c r="D48" s="34">
        <f>IF(LEN($B48)&lt;22,"",DATE(VALUE(MID($B48,19,4)),VALUE(MID($B48,17,2)),VALUE(MID($B48,15,2))))</f>
        <v/>
      </c>
      <c r="E48" s="35">
        <f>IF(LEN($B48)&lt;45,"",VALUE(MID($B48,23,23)))</f>
        <v/>
      </c>
      <c r="F48" s="36">
        <f>IF(LEN($B48)&lt;46,"",MID($B48,46,1))</f>
        <v/>
      </c>
      <c r="G48" s="32">
        <f>IF(LEN($B48)&lt;116,"",TRIM(MID($B48,82,35)))</f>
        <v/>
      </c>
      <c r="H48" s="37">
        <f>IF($E48="","",$E48/IF(ttAmountUnit="Paise",1,100))</f>
        <v/>
      </c>
      <c r="I48" s="32">
        <f>IF($G48="","",IF($J48=0,"-- no match --",INDEX(Entries!$B$5:$B$104,$J48)))</f>
        <v/>
      </c>
      <c r="J48" s="38">
        <f>IF($G48="","",SUMPRODUCT(MAX((Entries!$H$5:$H$104&lt;&gt;"")*ISNUMBER(SEARCH(Entries!$H$5:$H$104,$G48&amp;""))*(ROW(Entries!$H$5:$H$104)-4))))</f>
        <v/>
      </c>
    </row>
    <row r="49">
      <c r="A49" s="32" t="n">
        <v>40</v>
      </c>
      <c r="B49" s="33" t="n"/>
      <c r="C49" s="32">
        <f>IF(LEN($B49)&lt;14,"",TRIM(MID($B49,1,14)))</f>
        <v/>
      </c>
      <c r="D49" s="34">
        <f>IF(LEN($B49)&lt;22,"",DATE(VALUE(MID($B49,19,4)),VALUE(MID($B49,17,2)),VALUE(MID($B49,15,2))))</f>
        <v/>
      </c>
      <c r="E49" s="35">
        <f>IF(LEN($B49)&lt;45,"",VALUE(MID($B49,23,23)))</f>
        <v/>
      </c>
      <c r="F49" s="36">
        <f>IF(LEN($B49)&lt;46,"",MID($B49,46,1))</f>
        <v/>
      </c>
      <c r="G49" s="32">
        <f>IF(LEN($B49)&lt;116,"",TRIM(MID($B49,82,35)))</f>
        <v/>
      </c>
      <c r="H49" s="37">
        <f>IF($E49="","",$E49/IF(ttAmountUnit="Paise",1,100))</f>
        <v/>
      </c>
      <c r="I49" s="32">
        <f>IF($G49="","",IF($J49=0,"-- no match --",INDEX(Entries!$B$5:$B$104,$J49)))</f>
        <v/>
      </c>
      <c r="J49" s="38">
        <f>IF($G49="","",SUMPRODUCT(MAX((Entries!$H$5:$H$104&lt;&gt;"")*ISNUMBER(SEARCH(Entries!$H$5:$H$104,$G49&amp;""))*(ROW(Entries!$H$5:$H$104)-4))))</f>
        <v/>
      </c>
    </row>
    <row r="50">
      <c r="A50" s="32" t="n">
        <v>41</v>
      </c>
      <c r="B50" s="33" t="n"/>
      <c r="C50" s="32">
        <f>IF(LEN($B50)&lt;14,"",TRIM(MID($B50,1,14)))</f>
        <v/>
      </c>
      <c r="D50" s="34">
        <f>IF(LEN($B50)&lt;22,"",DATE(VALUE(MID($B50,19,4)),VALUE(MID($B50,17,2)),VALUE(MID($B50,15,2))))</f>
        <v/>
      </c>
      <c r="E50" s="35">
        <f>IF(LEN($B50)&lt;45,"",VALUE(MID($B50,23,23)))</f>
        <v/>
      </c>
      <c r="F50" s="36">
        <f>IF(LEN($B50)&lt;46,"",MID($B50,46,1))</f>
        <v/>
      </c>
      <c r="G50" s="32">
        <f>IF(LEN($B50)&lt;116,"",TRIM(MID($B50,82,35)))</f>
        <v/>
      </c>
      <c r="H50" s="37">
        <f>IF($E50="","",$E50/IF(ttAmountUnit="Paise",1,100))</f>
        <v/>
      </c>
      <c r="I50" s="32">
        <f>IF($G50="","",IF($J50=0,"-- no match --",INDEX(Entries!$B$5:$B$104,$J50)))</f>
        <v/>
      </c>
      <c r="J50" s="38">
        <f>IF($G50="","",SUMPRODUCT(MAX((Entries!$H$5:$H$104&lt;&gt;"")*ISNUMBER(SEARCH(Entries!$H$5:$H$104,$G50&amp;""))*(ROW(Entries!$H$5:$H$104)-4))))</f>
        <v/>
      </c>
    </row>
    <row r="51">
      <c r="A51" s="32" t="n">
        <v>42</v>
      </c>
      <c r="B51" s="33" t="n"/>
      <c r="C51" s="32">
        <f>IF(LEN($B51)&lt;14,"",TRIM(MID($B51,1,14)))</f>
        <v/>
      </c>
      <c r="D51" s="34">
        <f>IF(LEN($B51)&lt;22,"",DATE(VALUE(MID($B51,19,4)),VALUE(MID($B51,17,2)),VALUE(MID($B51,15,2))))</f>
        <v/>
      </c>
      <c r="E51" s="35">
        <f>IF(LEN($B51)&lt;45,"",VALUE(MID($B51,23,23)))</f>
        <v/>
      </c>
      <c r="F51" s="36">
        <f>IF(LEN($B51)&lt;46,"",MID($B51,46,1))</f>
        <v/>
      </c>
      <c r="G51" s="32">
        <f>IF(LEN($B51)&lt;116,"",TRIM(MID($B51,82,35)))</f>
        <v/>
      </c>
      <c r="H51" s="37">
        <f>IF($E51="","",$E51/IF(ttAmountUnit="Paise",1,100))</f>
        <v/>
      </c>
      <c r="I51" s="32">
        <f>IF($G51="","",IF($J51=0,"-- no match --",INDEX(Entries!$B$5:$B$104,$J51)))</f>
        <v/>
      </c>
      <c r="J51" s="38">
        <f>IF($G51="","",SUMPRODUCT(MAX((Entries!$H$5:$H$104&lt;&gt;"")*ISNUMBER(SEARCH(Entries!$H$5:$H$104,$G51&amp;""))*(ROW(Entries!$H$5:$H$104)-4))))</f>
        <v/>
      </c>
    </row>
    <row r="52">
      <c r="A52" s="32" t="n">
        <v>43</v>
      </c>
      <c r="B52" s="33" t="n"/>
      <c r="C52" s="32">
        <f>IF(LEN($B52)&lt;14,"",TRIM(MID($B52,1,14)))</f>
        <v/>
      </c>
      <c r="D52" s="34">
        <f>IF(LEN($B52)&lt;22,"",DATE(VALUE(MID($B52,19,4)),VALUE(MID($B52,17,2)),VALUE(MID($B52,15,2))))</f>
        <v/>
      </c>
      <c r="E52" s="35">
        <f>IF(LEN($B52)&lt;45,"",VALUE(MID($B52,23,23)))</f>
        <v/>
      </c>
      <c r="F52" s="36">
        <f>IF(LEN($B52)&lt;46,"",MID($B52,46,1))</f>
        <v/>
      </c>
      <c r="G52" s="32">
        <f>IF(LEN($B52)&lt;116,"",TRIM(MID($B52,82,35)))</f>
        <v/>
      </c>
      <c r="H52" s="37">
        <f>IF($E52="","",$E52/IF(ttAmountUnit="Paise",1,100))</f>
        <v/>
      </c>
      <c r="I52" s="32">
        <f>IF($G52="","",IF($J52=0,"-- no match --",INDEX(Entries!$B$5:$B$104,$J52)))</f>
        <v/>
      </c>
      <c r="J52" s="38">
        <f>IF($G52="","",SUMPRODUCT(MAX((Entries!$H$5:$H$104&lt;&gt;"")*ISNUMBER(SEARCH(Entries!$H$5:$H$104,$G52&amp;""))*(ROW(Entries!$H$5:$H$104)-4))))</f>
        <v/>
      </c>
    </row>
    <row r="53">
      <c r="A53" s="32" t="n">
        <v>44</v>
      </c>
      <c r="B53" s="33" t="n"/>
      <c r="C53" s="32">
        <f>IF(LEN($B53)&lt;14,"",TRIM(MID($B53,1,14)))</f>
        <v/>
      </c>
      <c r="D53" s="34">
        <f>IF(LEN($B53)&lt;22,"",DATE(VALUE(MID($B53,19,4)),VALUE(MID($B53,17,2)),VALUE(MID($B53,15,2))))</f>
        <v/>
      </c>
      <c r="E53" s="35">
        <f>IF(LEN($B53)&lt;45,"",VALUE(MID($B53,23,23)))</f>
        <v/>
      </c>
      <c r="F53" s="36">
        <f>IF(LEN($B53)&lt;46,"",MID($B53,46,1))</f>
        <v/>
      </c>
      <c r="G53" s="32">
        <f>IF(LEN($B53)&lt;116,"",TRIM(MID($B53,82,35)))</f>
        <v/>
      </c>
      <c r="H53" s="37">
        <f>IF($E53="","",$E53/IF(ttAmountUnit="Paise",1,100))</f>
        <v/>
      </c>
      <c r="I53" s="32">
        <f>IF($G53="","",IF($J53=0,"-- no match --",INDEX(Entries!$B$5:$B$104,$J53)))</f>
        <v/>
      </c>
      <c r="J53" s="38">
        <f>IF($G53="","",SUMPRODUCT(MAX((Entries!$H$5:$H$104&lt;&gt;"")*ISNUMBER(SEARCH(Entries!$H$5:$H$104,$G53&amp;""))*(ROW(Entries!$H$5:$H$104)-4))))</f>
        <v/>
      </c>
    </row>
    <row r="54">
      <c r="A54" s="32" t="n">
        <v>45</v>
      </c>
      <c r="B54" s="33" t="n"/>
      <c r="C54" s="32">
        <f>IF(LEN($B54)&lt;14,"",TRIM(MID($B54,1,14)))</f>
        <v/>
      </c>
      <c r="D54" s="34">
        <f>IF(LEN($B54)&lt;22,"",DATE(VALUE(MID($B54,19,4)),VALUE(MID($B54,17,2)),VALUE(MID($B54,15,2))))</f>
        <v/>
      </c>
      <c r="E54" s="35">
        <f>IF(LEN($B54)&lt;45,"",VALUE(MID($B54,23,23)))</f>
        <v/>
      </c>
      <c r="F54" s="36">
        <f>IF(LEN($B54)&lt;46,"",MID($B54,46,1))</f>
        <v/>
      </c>
      <c r="G54" s="32">
        <f>IF(LEN($B54)&lt;116,"",TRIM(MID($B54,82,35)))</f>
        <v/>
      </c>
      <c r="H54" s="37">
        <f>IF($E54="","",$E54/IF(ttAmountUnit="Paise",1,100))</f>
        <v/>
      </c>
      <c r="I54" s="32">
        <f>IF($G54="","",IF($J54=0,"-- no match --",INDEX(Entries!$B$5:$B$104,$J54)))</f>
        <v/>
      </c>
      <c r="J54" s="38">
        <f>IF($G54="","",SUMPRODUCT(MAX((Entries!$H$5:$H$104&lt;&gt;"")*ISNUMBER(SEARCH(Entries!$H$5:$H$104,$G54&amp;""))*(ROW(Entries!$H$5:$H$104)-4))))</f>
        <v/>
      </c>
    </row>
    <row r="55">
      <c r="A55" s="32" t="n">
        <v>46</v>
      </c>
      <c r="B55" s="33" t="n"/>
      <c r="C55" s="32">
        <f>IF(LEN($B55)&lt;14,"",TRIM(MID($B55,1,14)))</f>
        <v/>
      </c>
      <c r="D55" s="34">
        <f>IF(LEN($B55)&lt;22,"",DATE(VALUE(MID($B55,19,4)),VALUE(MID($B55,17,2)),VALUE(MID($B55,15,2))))</f>
        <v/>
      </c>
      <c r="E55" s="35">
        <f>IF(LEN($B55)&lt;45,"",VALUE(MID($B55,23,23)))</f>
        <v/>
      </c>
      <c r="F55" s="36">
        <f>IF(LEN($B55)&lt;46,"",MID($B55,46,1))</f>
        <v/>
      </c>
      <c r="G55" s="32">
        <f>IF(LEN($B55)&lt;116,"",TRIM(MID($B55,82,35)))</f>
        <v/>
      </c>
      <c r="H55" s="37">
        <f>IF($E55="","",$E55/IF(ttAmountUnit="Paise",1,100))</f>
        <v/>
      </c>
      <c r="I55" s="32">
        <f>IF($G55="","",IF($J55=0,"-- no match --",INDEX(Entries!$B$5:$B$104,$J55)))</f>
        <v/>
      </c>
      <c r="J55" s="38">
        <f>IF($G55="","",SUMPRODUCT(MAX((Entries!$H$5:$H$104&lt;&gt;"")*ISNUMBER(SEARCH(Entries!$H$5:$H$104,$G55&amp;""))*(ROW(Entries!$H$5:$H$104)-4))))</f>
        <v/>
      </c>
    </row>
    <row r="56">
      <c r="A56" s="32" t="n">
        <v>47</v>
      </c>
      <c r="B56" s="33" t="n"/>
      <c r="C56" s="32">
        <f>IF(LEN($B56)&lt;14,"",TRIM(MID($B56,1,14)))</f>
        <v/>
      </c>
      <c r="D56" s="34">
        <f>IF(LEN($B56)&lt;22,"",DATE(VALUE(MID($B56,19,4)),VALUE(MID($B56,17,2)),VALUE(MID($B56,15,2))))</f>
        <v/>
      </c>
      <c r="E56" s="35">
        <f>IF(LEN($B56)&lt;45,"",VALUE(MID($B56,23,23)))</f>
        <v/>
      </c>
      <c r="F56" s="36">
        <f>IF(LEN($B56)&lt;46,"",MID($B56,46,1))</f>
        <v/>
      </c>
      <c r="G56" s="32">
        <f>IF(LEN($B56)&lt;116,"",TRIM(MID($B56,82,35)))</f>
        <v/>
      </c>
      <c r="H56" s="37">
        <f>IF($E56="","",$E56/IF(ttAmountUnit="Paise",1,100))</f>
        <v/>
      </c>
      <c r="I56" s="32">
        <f>IF($G56="","",IF($J56=0,"-- no match --",INDEX(Entries!$B$5:$B$104,$J56)))</f>
        <v/>
      </c>
      <c r="J56" s="38">
        <f>IF($G56="","",SUMPRODUCT(MAX((Entries!$H$5:$H$104&lt;&gt;"")*ISNUMBER(SEARCH(Entries!$H$5:$H$104,$G56&amp;""))*(ROW(Entries!$H$5:$H$104)-4))))</f>
        <v/>
      </c>
    </row>
    <row r="57">
      <c r="A57" s="32" t="n">
        <v>48</v>
      </c>
      <c r="B57" s="33" t="n"/>
      <c r="C57" s="32">
        <f>IF(LEN($B57)&lt;14,"",TRIM(MID($B57,1,14)))</f>
        <v/>
      </c>
      <c r="D57" s="34">
        <f>IF(LEN($B57)&lt;22,"",DATE(VALUE(MID($B57,19,4)),VALUE(MID($B57,17,2)),VALUE(MID($B57,15,2))))</f>
        <v/>
      </c>
      <c r="E57" s="35">
        <f>IF(LEN($B57)&lt;45,"",VALUE(MID($B57,23,23)))</f>
        <v/>
      </c>
      <c r="F57" s="36">
        <f>IF(LEN($B57)&lt;46,"",MID($B57,46,1))</f>
        <v/>
      </c>
      <c r="G57" s="32">
        <f>IF(LEN($B57)&lt;116,"",TRIM(MID($B57,82,35)))</f>
        <v/>
      </c>
      <c r="H57" s="37">
        <f>IF($E57="","",$E57/IF(ttAmountUnit="Paise",1,100))</f>
        <v/>
      </c>
      <c r="I57" s="32">
        <f>IF($G57="","",IF($J57=0,"-- no match --",INDEX(Entries!$B$5:$B$104,$J57)))</f>
        <v/>
      </c>
      <c r="J57" s="38">
        <f>IF($G57="","",SUMPRODUCT(MAX((Entries!$H$5:$H$104&lt;&gt;"")*ISNUMBER(SEARCH(Entries!$H$5:$H$104,$G57&amp;""))*(ROW(Entries!$H$5:$H$104)-4))))</f>
        <v/>
      </c>
    </row>
    <row r="58">
      <c r="A58" s="32" t="n">
        <v>49</v>
      </c>
      <c r="B58" s="33" t="n"/>
      <c r="C58" s="32">
        <f>IF(LEN($B58)&lt;14,"",TRIM(MID($B58,1,14)))</f>
        <v/>
      </c>
      <c r="D58" s="34">
        <f>IF(LEN($B58)&lt;22,"",DATE(VALUE(MID($B58,19,4)),VALUE(MID($B58,17,2)),VALUE(MID($B58,15,2))))</f>
        <v/>
      </c>
      <c r="E58" s="35">
        <f>IF(LEN($B58)&lt;45,"",VALUE(MID($B58,23,23)))</f>
        <v/>
      </c>
      <c r="F58" s="36">
        <f>IF(LEN($B58)&lt;46,"",MID($B58,46,1))</f>
        <v/>
      </c>
      <c r="G58" s="32">
        <f>IF(LEN($B58)&lt;116,"",TRIM(MID($B58,82,35)))</f>
        <v/>
      </c>
      <c r="H58" s="37">
        <f>IF($E58="","",$E58/IF(ttAmountUnit="Paise",1,100))</f>
        <v/>
      </c>
      <c r="I58" s="32">
        <f>IF($G58="","",IF($J58=0,"-- no match --",INDEX(Entries!$B$5:$B$104,$J58)))</f>
        <v/>
      </c>
      <c r="J58" s="38">
        <f>IF($G58="","",SUMPRODUCT(MAX((Entries!$H$5:$H$104&lt;&gt;"")*ISNUMBER(SEARCH(Entries!$H$5:$H$104,$G58&amp;""))*(ROW(Entries!$H$5:$H$104)-4))))</f>
        <v/>
      </c>
    </row>
    <row r="59">
      <c r="A59" s="32" t="n">
        <v>50</v>
      </c>
      <c r="B59" s="33" t="n"/>
      <c r="C59" s="32">
        <f>IF(LEN($B59)&lt;14,"",TRIM(MID($B59,1,14)))</f>
        <v/>
      </c>
      <c r="D59" s="34">
        <f>IF(LEN($B59)&lt;22,"",DATE(VALUE(MID($B59,19,4)),VALUE(MID($B59,17,2)),VALUE(MID($B59,15,2))))</f>
        <v/>
      </c>
      <c r="E59" s="35">
        <f>IF(LEN($B59)&lt;45,"",VALUE(MID($B59,23,23)))</f>
        <v/>
      </c>
      <c r="F59" s="36">
        <f>IF(LEN($B59)&lt;46,"",MID($B59,46,1))</f>
        <v/>
      </c>
      <c r="G59" s="32">
        <f>IF(LEN($B59)&lt;116,"",TRIM(MID($B59,82,35)))</f>
        <v/>
      </c>
      <c r="H59" s="37">
        <f>IF($E59="","",$E59/IF(ttAmountUnit="Paise",1,100))</f>
        <v/>
      </c>
      <c r="I59" s="32">
        <f>IF($G59="","",IF($J59=0,"-- no match --",INDEX(Entries!$B$5:$B$104,$J59)))</f>
        <v/>
      </c>
      <c r="J59" s="38">
        <f>IF($G59="","",SUMPRODUCT(MAX((Entries!$H$5:$H$104&lt;&gt;"")*ISNUMBER(SEARCH(Entries!$H$5:$H$104,$G59&amp;""))*(ROW(Entries!$H$5:$H$104)-4))))</f>
        <v/>
      </c>
    </row>
    <row r="60">
      <c r="A60" s="32" t="n">
        <v>51</v>
      </c>
      <c r="B60" s="33" t="n"/>
      <c r="C60" s="32">
        <f>IF(LEN($B60)&lt;14,"",TRIM(MID($B60,1,14)))</f>
        <v/>
      </c>
      <c r="D60" s="34">
        <f>IF(LEN($B60)&lt;22,"",DATE(VALUE(MID($B60,19,4)),VALUE(MID($B60,17,2)),VALUE(MID($B60,15,2))))</f>
        <v/>
      </c>
      <c r="E60" s="35">
        <f>IF(LEN($B60)&lt;45,"",VALUE(MID($B60,23,23)))</f>
        <v/>
      </c>
      <c r="F60" s="36">
        <f>IF(LEN($B60)&lt;46,"",MID($B60,46,1))</f>
        <v/>
      </c>
      <c r="G60" s="32">
        <f>IF(LEN($B60)&lt;116,"",TRIM(MID($B60,82,35)))</f>
        <v/>
      </c>
      <c r="H60" s="37">
        <f>IF($E60="","",$E60/IF(ttAmountUnit="Paise",1,100))</f>
        <v/>
      </c>
      <c r="I60" s="32">
        <f>IF($G60="","",IF($J60=0,"-- no match --",INDEX(Entries!$B$5:$B$104,$J60)))</f>
        <v/>
      </c>
      <c r="J60" s="38">
        <f>IF($G60="","",SUMPRODUCT(MAX((Entries!$H$5:$H$104&lt;&gt;"")*ISNUMBER(SEARCH(Entries!$H$5:$H$104,$G60&amp;""))*(ROW(Entries!$H$5:$H$104)-4))))</f>
        <v/>
      </c>
    </row>
    <row r="61">
      <c r="A61" s="32" t="n">
        <v>52</v>
      </c>
      <c r="B61" s="33" t="n"/>
      <c r="C61" s="32">
        <f>IF(LEN($B61)&lt;14,"",TRIM(MID($B61,1,14)))</f>
        <v/>
      </c>
      <c r="D61" s="34">
        <f>IF(LEN($B61)&lt;22,"",DATE(VALUE(MID($B61,19,4)),VALUE(MID($B61,17,2)),VALUE(MID($B61,15,2))))</f>
        <v/>
      </c>
      <c r="E61" s="35">
        <f>IF(LEN($B61)&lt;45,"",VALUE(MID($B61,23,23)))</f>
        <v/>
      </c>
      <c r="F61" s="36">
        <f>IF(LEN($B61)&lt;46,"",MID($B61,46,1))</f>
        <v/>
      </c>
      <c r="G61" s="32">
        <f>IF(LEN($B61)&lt;116,"",TRIM(MID($B61,82,35)))</f>
        <v/>
      </c>
      <c r="H61" s="37">
        <f>IF($E61="","",$E61/IF(ttAmountUnit="Paise",1,100))</f>
        <v/>
      </c>
      <c r="I61" s="32">
        <f>IF($G61="","",IF($J61=0,"-- no match --",INDEX(Entries!$B$5:$B$104,$J61)))</f>
        <v/>
      </c>
      <c r="J61" s="38">
        <f>IF($G61="","",SUMPRODUCT(MAX((Entries!$H$5:$H$104&lt;&gt;"")*ISNUMBER(SEARCH(Entries!$H$5:$H$104,$G61&amp;""))*(ROW(Entries!$H$5:$H$104)-4))))</f>
        <v/>
      </c>
    </row>
    <row r="62">
      <c r="A62" s="32" t="n">
        <v>53</v>
      </c>
      <c r="B62" s="33" t="n"/>
      <c r="C62" s="32">
        <f>IF(LEN($B62)&lt;14,"",TRIM(MID($B62,1,14)))</f>
        <v/>
      </c>
      <c r="D62" s="34">
        <f>IF(LEN($B62)&lt;22,"",DATE(VALUE(MID($B62,19,4)),VALUE(MID($B62,17,2)),VALUE(MID($B62,15,2))))</f>
        <v/>
      </c>
      <c r="E62" s="35">
        <f>IF(LEN($B62)&lt;45,"",VALUE(MID($B62,23,23)))</f>
        <v/>
      </c>
      <c r="F62" s="36">
        <f>IF(LEN($B62)&lt;46,"",MID($B62,46,1))</f>
        <v/>
      </c>
      <c r="G62" s="32">
        <f>IF(LEN($B62)&lt;116,"",TRIM(MID($B62,82,35)))</f>
        <v/>
      </c>
      <c r="H62" s="37">
        <f>IF($E62="","",$E62/IF(ttAmountUnit="Paise",1,100))</f>
        <v/>
      </c>
      <c r="I62" s="32">
        <f>IF($G62="","",IF($J62=0,"-- no match --",INDEX(Entries!$B$5:$B$104,$J62)))</f>
        <v/>
      </c>
      <c r="J62" s="38">
        <f>IF($G62="","",SUMPRODUCT(MAX((Entries!$H$5:$H$104&lt;&gt;"")*ISNUMBER(SEARCH(Entries!$H$5:$H$104,$G62&amp;""))*(ROW(Entries!$H$5:$H$104)-4))))</f>
        <v/>
      </c>
    </row>
    <row r="63">
      <c r="A63" s="32" t="n">
        <v>54</v>
      </c>
      <c r="B63" s="33" t="n"/>
      <c r="C63" s="32">
        <f>IF(LEN($B63)&lt;14,"",TRIM(MID($B63,1,14)))</f>
        <v/>
      </c>
      <c r="D63" s="34">
        <f>IF(LEN($B63)&lt;22,"",DATE(VALUE(MID($B63,19,4)),VALUE(MID($B63,17,2)),VALUE(MID($B63,15,2))))</f>
        <v/>
      </c>
      <c r="E63" s="35">
        <f>IF(LEN($B63)&lt;45,"",VALUE(MID($B63,23,23)))</f>
        <v/>
      </c>
      <c r="F63" s="36">
        <f>IF(LEN($B63)&lt;46,"",MID($B63,46,1))</f>
        <v/>
      </c>
      <c r="G63" s="32">
        <f>IF(LEN($B63)&lt;116,"",TRIM(MID($B63,82,35)))</f>
        <v/>
      </c>
      <c r="H63" s="37">
        <f>IF($E63="","",$E63/IF(ttAmountUnit="Paise",1,100))</f>
        <v/>
      </c>
      <c r="I63" s="32">
        <f>IF($G63="","",IF($J63=0,"-- no match --",INDEX(Entries!$B$5:$B$104,$J63)))</f>
        <v/>
      </c>
      <c r="J63" s="38">
        <f>IF($G63="","",SUMPRODUCT(MAX((Entries!$H$5:$H$104&lt;&gt;"")*ISNUMBER(SEARCH(Entries!$H$5:$H$104,$G63&amp;""))*(ROW(Entries!$H$5:$H$104)-4))))</f>
        <v/>
      </c>
    </row>
    <row r="64">
      <c r="A64" s="32" t="n">
        <v>55</v>
      </c>
      <c r="B64" s="33" t="n"/>
      <c r="C64" s="32">
        <f>IF(LEN($B64)&lt;14,"",TRIM(MID($B64,1,14)))</f>
        <v/>
      </c>
      <c r="D64" s="34">
        <f>IF(LEN($B64)&lt;22,"",DATE(VALUE(MID($B64,19,4)),VALUE(MID($B64,17,2)),VALUE(MID($B64,15,2))))</f>
        <v/>
      </c>
      <c r="E64" s="35">
        <f>IF(LEN($B64)&lt;45,"",VALUE(MID($B64,23,23)))</f>
        <v/>
      </c>
      <c r="F64" s="36">
        <f>IF(LEN($B64)&lt;46,"",MID($B64,46,1))</f>
        <v/>
      </c>
      <c r="G64" s="32">
        <f>IF(LEN($B64)&lt;116,"",TRIM(MID($B64,82,35)))</f>
        <v/>
      </c>
      <c r="H64" s="37">
        <f>IF($E64="","",$E64/IF(ttAmountUnit="Paise",1,100))</f>
        <v/>
      </c>
      <c r="I64" s="32">
        <f>IF($G64="","",IF($J64=0,"-- no match --",INDEX(Entries!$B$5:$B$104,$J64)))</f>
        <v/>
      </c>
      <c r="J64" s="38">
        <f>IF($G64="","",SUMPRODUCT(MAX((Entries!$H$5:$H$104&lt;&gt;"")*ISNUMBER(SEARCH(Entries!$H$5:$H$104,$G64&amp;""))*(ROW(Entries!$H$5:$H$104)-4))))</f>
        <v/>
      </c>
    </row>
    <row r="65">
      <c r="A65" s="32" t="n">
        <v>56</v>
      </c>
      <c r="B65" s="33" t="n"/>
      <c r="C65" s="32">
        <f>IF(LEN($B65)&lt;14,"",TRIM(MID($B65,1,14)))</f>
        <v/>
      </c>
      <c r="D65" s="34">
        <f>IF(LEN($B65)&lt;22,"",DATE(VALUE(MID($B65,19,4)),VALUE(MID($B65,17,2)),VALUE(MID($B65,15,2))))</f>
        <v/>
      </c>
      <c r="E65" s="35">
        <f>IF(LEN($B65)&lt;45,"",VALUE(MID($B65,23,23)))</f>
        <v/>
      </c>
      <c r="F65" s="36">
        <f>IF(LEN($B65)&lt;46,"",MID($B65,46,1))</f>
        <v/>
      </c>
      <c r="G65" s="32">
        <f>IF(LEN($B65)&lt;116,"",TRIM(MID($B65,82,35)))</f>
        <v/>
      </c>
      <c r="H65" s="37">
        <f>IF($E65="","",$E65/IF(ttAmountUnit="Paise",1,100))</f>
        <v/>
      </c>
      <c r="I65" s="32">
        <f>IF($G65="","",IF($J65=0,"-- no match --",INDEX(Entries!$B$5:$B$104,$J65)))</f>
        <v/>
      </c>
      <c r="J65" s="38">
        <f>IF($G65="","",SUMPRODUCT(MAX((Entries!$H$5:$H$104&lt;&gt;"")*ISNUMBER(SEARCH(Entries!$H$5:$H$104,$G65&amp;""))*(ROW(Entries!$H$5:$H$104)-4))))</f>
        <v/>
      </c>
    </row>
    <row r="66">
      <c r="A66" s="32" t="n">
        <v>57</v>
      </c>
      <c r="B66" s="33" t="n"/>
      <c r="C66" s="32">
        <f>IF(LEN($B66)&lt;14,"",TRIM(MID($B66,1,14)))</f>
        <v/>
      </c>
      <c r="D66" s="34">
        <f>IF(LEN($B66)&lt;22,"",DATE(VALUE(MID($B66,19,4)),VALUE(MID($B66,17,2)),VALUE(MID($B66,15,2))))</f>
        <v/>
      </c>
      <c r="E66" s="35">
        <f>IF(LEN($B66)&lt;45,"",VALUE(MID($B66,23,23)))</f>
        <v/>
      </c>
      <c r="F66" s="36">
        <f>IF(LEN($B66)&lt;46,"",MID($B66,46,1))</f>
        <v/>
      </c>
      <c r="G66" s="32">
        <f>IF(LEN($B66)&lt;116,"",TRIM(MID($B66,82,35)))</f>
        <v/>
      </c>
      <c r="H66" s="37">
        <f>IF($E66="","",$E66/IF(ttAmountUnit="Paise",1,100))</f>
        <v/>
      </c>
      <c r="I66" s="32">
        <f>IF($G66="","",IF($J66=0,"-- no match --",INDEX(Entries!$B$5:$B$104,$J66)))</f>
        <v/>
      </c>
      <c r="J66" s="38">
        <f>IF($G66="","",SUMPRODUCT(MAX((Entries!$H$5:$H$104&lt;&gt;"")*ISNUMBER(SEARCH(Entries!$H$5:$H$104,$G66&amp;""))*(ROW(Entries!$H$5:$H$104)-4))))</f>
        <v/>
      </c>
    </row>
    <row r="67">
      <c r="A67" s="32" t="n">
        <v>58</v>
      </c>
      <c r="B67" s="33" t="n"/>
      <c r="C67" s="32">
        <f>IF(LEN($B67)&lt;14,"",TRIM(MID($B67,1,14)))</f>
        <v/>
      </c>
      <c r="D67" s="34">
        <f>IF(LEN($B67)&lt;22,"",DATE(VALUE(MID($B67,19,4)),VALUE(MID($B67,17,2)),VALUE(MID($B67,15,2))))</f>
        <v/>
      </c>
      <c r="E67" s="35">
        <f>IF(LEN($B67)&lt;45,"",VALUE(MID($B67,23,23)))</f>
        <v/>
      </c>
      <c r="F67" s="36">
        <f>IF(LEN($B67)&lt;46,"",MID($B67,46,1))</f>
        <v/>
      </c>
      <c r="G67" s="32">
        <f>IF(LEN($B67)&lt;116,"",TRIM(MID($B67,82,35)))</f>
        <v/>
      </c>
      <c r="H67" s="37">
        <f>IF($E67="","",$E67/IF(ttAmountUnit="Paise",1,100))</f>
        <v/>
      </c>
      <c r="I67" s="32">
        <f>IF($G67="","",IF($J67=0,"-- no match --",INDEX(Entries!$B$5:$B$104,$J67)))</f>
        <v/>
      </c>
      <c r="J67" s="38">
        <f>IF($G67="","",SUMPRODUCT(MAX((Entries!$H$5:$H$104&lt;&gt;"")*ISNUMBER(SEARCH(Entries!$H$5:$H$104,$G67&amp;""))*(ROW(Entries!$H$5:$H$104)-4))))</f>
        <v/>
      </c>
    </row>
    <row r="68">
      <c r="A68" s="32" t="n">
        <v>59</v>
      </c>
      <c r="B68" s="33" t="n"/>
      <c r="C68" s="32">
        <f>IF(LEN($B68)&lt;14,"",TRIM(MID($B68,1,14)))</f>
        <v/>
      </c>
      <c r="D68" s="34">
        <f>IF(LEN($B68)&lt;22,"",DATE(VALUE(MID($B68,19,4)),VALUE(MID($B68,17,2)),VALUE(MID($B68,15,2))))</f>
        <v/>
      </c>
      <c r="E68" s="35">
        <f>IF(LEN($B68)&lt;45,"",VALUE(MID($B68,23,23)))</f>
        <v/>
      </c>
      <c r="F68" s="36">
        <f>IF(LEN($B68)&lt;46,"",MID($B68,46,1))</f>
        <v/>
      </c>
      <c r="G68" s="32">
        <f>IF(LEN($B68)&lt;116,"",TRIM(MID($B68,82,35)))</f>
        <v/>
      </c>
      <c r="H68" s="37">
        <f>IF($E68="","",$E68/IF(ttAmountUnit="Paise",1,100))</f>
        <v/>
      </c>
      <c r="I68" s="32">
        <f>IF($G68="","",IF($J68=0,"-- no match --",INDEX(Entries!$B$5:$B$104,$J68)))</f>
        <v/>
      </c>
      <c r="J68" s="38">
        <f>IF($G68="","",SUMPRODUCT(MAX((Entries!$H$5:$H$104&lt;&gt;"")*ISNUMBER(SEARCH(Entries!$H$5:$H$104,$G68&amp;""))*(ROW(Entries!$H$5:$H$104)-4))))</f>
        <v/>
      </c>
    </row>
    <row r="69">
      <c r="A69" s="32" t="n">
        <v>60</v>
      </c>
      <c r="B69" s="33" t="n"/>
      <c r="C69" s="32">
        <f>IF(LEN($B69)&lt;14,"",TRIM(MID($B69,1,14)))</f>
        <v/>
      </c>
      <c r="D69" s="34">
        <f>IF(LEN($B69)&lt;22,"",DATE(VALUE(MID($B69,19,4)),VALUE(MID($B69,17,2)),VALUE(MID($B69,15,2))))</f>
        <v/>
      </c>
      <c r="E69" s="35">
        <f>IF(LEN($B69)&lt;45,"",VALUE(MID($B69,23,23)))</f>
        <v/>
      </c>
      <c r="F69" s="36">
        <f>IF(LEN($B69)&lt;46,"",MID($B69,46,1))</f>
        <v/>
      </c>
      <c r="G69" s="32">
        <f>IF(LEN($B69)&lt;116,"",TRIM(MID($B69,82,35)))</f>
        <v/>
      </c>
      <c r="H69" s="37">
        <f>IF($E69="","",$E69/IF(ttAmountUnit="Paise",1,100))</f>
        <v/>
      </c>
      <c r="I69" s="32">
        <f>IF($G69="","",IF($J69=0,"-- no match --",INDEX(Entries!$B$5:$B$104,$J69)))</f>
        <v/>
      </c>
      <c r="J69" s="38">
        <f>IF($G69="","",SUMPRODUCT(MAX((Entries!$H$5:$H$104&lt;&gt;"")*ISNUMBER(SEARCH(Entries!$H$5:$H$104,$G69&amp;""))*(ROW(Entries!$H$5:$H$104)-4))))</f>
        <v/>
      </c>
    </row>
    <row r="70">
      <c r="A70" s="32" t="n">
        <v>61</v>
      </c>
      <c r="B70" s="33" t="n"/>
      <c r="C70" s="32">
        <f>IF(LEN($B70)&lt;14,"",TRIM(MID($B70,1,14)))</f>
        <v/>
      </c>
      <c r="D70" s="34">
        <f>IF(LEN($B70)&lt;22,"",DATE(VALUE(MID($B70,19,4)),VALUE(MID($B70,17,2)),VALUE(MID($B70,15,2))))</f>
        <v/>
      </c>
      <c r="E70" s="35">
        <f>IF(LEN($B70)&lt;45,"",VALUE(MID($B70,23,23)))</f>
        <v/>
      </c>
      <c r="F70" s="36">
        <f>IF(LEN($B70)&lt;46,"",MID($B70,46,1))</f>
        <v/>
      </c>
      <c r="G70" s="32">
        <f>IF(LEN($B70)&lt;116,"",TRIM(MID($B70,82,35)))</f>
        <v/>
      </c>
      <c r="H70" s="37">
        <f>IF($E70="","",$E70/IF(ttAmountUnit="Paise",1,100))</f>
        <v/>
      </c>
      <c r="I70" s="32">
        <f>IF($G70="","",IF($J70=0,"-- no match --",INDEX(Entries!$B$5:$B$104,$J70)))</f>
        <v/>
      </c>
      <c r="J70" s="38">
        <f>IF($G70="","",SUMPRODUCT(MAX((Entries!$H$5:$H$104&lt;&gt;"")*ISNUMBER(SEARCH(Entries!$H$5:$H$104,$G70&amp;""))*(ROW(Entries!$H$5:$H$104)-4))))</f>
        <v/>
      </c>
    </row>
    <row r="71">
      <c r="A71" s="32" t="n">
        <v>62</v>
      </c>
      <c r="B71" s="33" t="n"/>
      <c r="C71" s="32">
        <f>IF(LEN($B71)&lt;14,"",TRIM(MID($B71,1,14)))</f>
        <v/>
      </c>
      <c r="D71" s="34">
        <f>IF(LEN($B71)&lt;22,"",DATE(VALUE(MID($B71,19,4)),VALUE(MID($B71,17,2)),VALUE(MID($B71,15,2))))</f>
        <v/>
      </c>
      <c r="E71" s="35">
        <f>IF(LEN($B71)&lt;45,"",VALUE(MID($B71,23,23)))</f>
        <v/>
      </c>
      <c r="F71" s="36">
        <f>IF(LEN($B71)&lt;46,"",MID($B71,46,1))</f>
        <v/>
      </c>
      <c r="G71" s="32">
        <f>IF(LEN($B71)&lt;116,"",TRIM(MID($B71,82,35)))</f>
        <v/>
      </c>
      <c r="H71" s="37">
        <f>IF($E71="","",$E71/IF(ttAmountUnit="Paise",1,100))</f>
        <v/>
      </c>
      <c r="I71" s="32">
        <f>IF($G71="","",IF($J71=0,"-- no match --",INDEX(Entries!$B$5:$B$104,$J71)))</f>
        <v/>
      </c>
      <c r="J71" s="38">
        <f>IF($G71="","",SUMPRODUCT(MAX((Entries!$H$5:$H$104&lt;&gt;"")*ISNUMBER(SEARCH(Entries!$H$5:$H$104,$G71&amp;""))*(ROW(Entries!$H$5:$H$104)-4))))</f>
        <v/>
      </c>
    </row>
    <row r="72">
      <c r="A72" s="32" t="n">
        <v>63</v>
      </c>
      <c r="B72" s="33" t="n"/>
      <c r="C72" s="32">
        <f>IF(LEN($B72)&lt;14,"",TRIM(MID($B72,1,14)))</f>
        <v/>
      </c>
      <c r="D72" s="34">
        <f>IF(LEN($B72)&lt;22,"",DATE(VALUE(MID($B72,19,4)),VALUE(MID($B72,17,2)),VALUE(MID($B72,15,2))))</f>
        <v/>
      </c>
      <c r="E72" s="35">
        <f>IF(LEN($B72)&lt;45,"",VALUE(MID($B72,23,23)))</f>
        <v/>
      </c>
      <c r="F72" s="36">
        <f>IF(LEN($B72)&lt;46,"",MID($B72,46,1))</f>
        <v/>
      </c>
      <c r="G72" s="32">
        <f>IF(LEN($B72)&lt;116,"",TRIM(MID($B72,82,35)))</f>
        <v/>
      </c>
      <c r="H72" s="37">
        <f>IF($E72="","",$E72/IF(ttAmountUnit="Paise",1,100))</f>
        <v/>
      </c>
      <c r="I72" s="32">
        <f>IF($G72="","",IF($J72=0,"-- no match --",INDEX(Entries!$B$5:$B$104,$J72)))</f>
        <v/>
      </c>
      <c r="J72" s="38">
        <f>IF($G72="","",SUMPRODUCT(MAX((Entries!$H$5:$H$104&lt;&gt;"")*ISNUMBER(SEARCH(Entries!$H$5:$H$104,$G72&amp;""))*(ROW(Entries!$H$5:$H$104)-4))))</f>
        <v/>
      </c>
    </row>
    <row r="73">
      <c r="A73" s="32" t="n">
        <v>64</v>
      </c>
      <c r="B73" s="33" t="n"/>
      <c r="C73" s="32">
        <f>IF(LEN($B73)&lt;14,"",TRIM(MID($B73,1,14)))</f>
        <v/>
      </c>
      <c r="D73" s="34">
        <f>IF(LEN($B73)&lt;22,"",DATE(VALUE(MID($B73,19,4)),VALUE(MID($B73,17,2)),VALUE(MID($B73,15,2))))</f>
        <v/>
      </c>
      <c r="E73" s="35">
        <f>IF(LEN($B73)&lt;45,"",VALUE(MID($B73,23,23)))</f>
        <v/>
      </c>
      <c r="F73" s="36">
        <f>IF(LEN($B73)&lt;46,"",MID($B73,46,1))</f>
        <v/>
      </c>
      <c r="G73" s="32">
        <f>IF(LEN($B73)&lt;116,"",TRIM(MID($B73,82,35)))</f>
        <v/>
      </c>
      <c r="H73" s="37">
        <f>IF($E73="","",$E73/IF(ttAmountUnit="Paise",1,100))</f>
        <v/>
      </c>
      <c r="I73" s="32">
        <f>IF($G73="","",IF($J73=0,"-- no match --",INDEX(Entries!$B$5:$B$104,$J73)))</f>
        <v/>
      </c>
      <c r="J73" s="38">
        <f>IF($G73="","",SUMPRODUCT(MAX((Entries!$H$5:$H$104&lt;&gt;"")*ISNUMBER(SEARCH(Entries!$H$5:$H$104,$G73&amp;""))*(ROW(Entries!$H$5:$H$104)-4))))</f>
        <v/>
      </c>
    </row>
    <row r="74">
      <c r="A74" s="32" t="n">
        <v>65</v>
      </c>
      <c r="B74" s="33" t="n"/>
      <c r="C74" s="32">
        <f>IF(LEN($B74)&lt;14,"",TRIM(MID($B74,1,14)))</f>
        <v/>
      </c>
      <c r="D74" s="34">
        <f>IF(LEN($B74)&lt;22,"",DATE(VALUE(MID($B74,19,4)),VALUE(MID($B74,17,2)),VALUE(MID($B74,15,2))))</f>
        <v/>
      </c>
      <c r="E74" s="35">
        <f>IF(LEN($B74)&lt;45,"",VALUE(MID($B74,23,23)))</f>
        <v/>
      </c>
      <c r="F74" s="36">
        <f>IF(LEN($B74)&lt;46,"",MID($B74,46,1))</f>
        <v/>
      </c>
      <c r="G74" s="32">
        <f>IF(LEN($B74)&lt;116,"",TRIM(MID($B74,82,35)))</f>
        <v/>
      </c>
      <c r="H74" s="37">
        <f>IF($E74="","",$E74/IF(ttAmountUnit="Paise",1,100))</f>
        <v/>
      </c>
      <c r="I74" s="32">
        <f>IF($G74="","",IF($J74=0,"-- no match --",INDEX(Entries!$B$5:$B$104,$J74)))</f>
        <v/>
      </c>
      <c r="J74" s="38">
        <f>IF($G74="","",SUMPRODUCT(MAX((Entries!$H$5:$H$104&lt;&gt;"")*ISNUMBER(SEARCH(Entries!$H$5:$H$104,$G74&amp;""))*(ROW(Entries!$H$5:$H$104)-4))))</f>
        <v/>
      </c>
    </row>
    <row r="75">
      <c r="A75" s="32" t="n">
        <v>66</v>
      </c>
      <c r="B75" s="33" t="n"/>
      <c r="C75" s="32">
        <f>IF(LEN($B75)&lt;14,"",TRIM(MID($B75,1,14)))</f>
        <v/>
      </c>
      <c r="D75" s="34">
        <f>IF(LEN($B75)&lt;22,"",DATE(VALUE(MID($B75,19,4)),VALUE(MID($B75,17,2)),VALUE(MID($B75,15,2))))</f>
        <v/>
      </c>
      <c r="E75" s="35">
        <f>IF(LEN($B75)&lt;45,"",VALUE(MID($B75,23,23)))</f>
        <v/>
      </c>
      <c r="F75" s="36">
        <f>IF(LEN($B75)&lt;46,"",MID($B75,46,1))</f>
        <v/>
      </c>
      <c r="G75" s="32">
        <f>IF(LEN($B75)&lt;116,"",TRIM(MID($B75,82,35)))</f>
        <v/>
      </c>
      <c r="H75" s="37">
        <f>IF($E75="","",$E75/IF(ttAmountUnit="Paise",1,100))</f>
        <v/>
      </c>
      <c r="I75" s="32">
        <f>IF($G75="","",IF($J75=0,"-- no match --",INDEX(Entries!$B$5:$B$104,$J75)))</f>
        <v/>
      </c>
      <c r="J75" s="38">
        <f>IF($G75="","",SUMPRODUCT(MAX((Entries!$H$5:$H$104&lt;&gt;"")*ISNUMBER(SEARCH(Entries!$H$5:$H$104,$G75&amp;""))*(ROW(Entries!$H$5:$H$104)-4))))</f>
        <v/>
      </c>
    </row>
    <row r="76">
      <c r="A76" s="32" t="n">
        <v>67</v>
      </c>
      <c r="B76" s="33" t="n"/>
      <c r="C76" s="32">
        <f>IF(LEN($B76)&lt;14,"",TRIM(MID($B76,1,14)))</f>
        <v/>
      </c>
      <c r="D76" s="34">
        <f>IF(LEN($B76)&lt;22,"",DATE(VALUE(MID($B76,19,4)),VALUE(MID($B76,17,2)),VALUE(MID($B76,15,2))))</f>
        <v/>
      </c>
      <c r="E76" s="35">
        <f>IF(LEN($B76)&lt;45,"",VALUE(MID($B76,23,23)))</f>
        <v/>
      </c>
      <c r="F76" s="36">
        <f>IF(LEN($B76)&lt;46,"",MID($B76,46,1))</f>
        <v/>
      </c>
      <c r="G76" s="32">
        <f>IF(LEN($B76)&lt;116,"",TRIM(MID($B76,82,35)))</f>
        <v/>
      </c>
      <c r="H76" s="37">
        <f>IF($E76="","",$E76/IF(ttAmountUnit="Paise",1,100))</f>
        <v/>
      </c>
      <c r="I76" s="32">
        <f>IF($G76="","",IF($J76=0,"-- no match --",INDEX(Entries!$B$5:$B$104,$J76)))</f>
        <v/>
      </c>
      <c r="J76" s="38">
        <f>IF($G76="","",SUMPRODUCT(MAX((Entries!$H$5:$H$104&lt;&gt;"")*ISNUMBER(SEARCH(Entries!$H$5:$H$104,$G76&amp;""))*(ROW(Entries!$H$5:$H$104)-4))))</f>
        <v/>
      </c>
    </row>
    <row r="77">
      <c r="A77" s="32" t="n">
        <v>68</v>
      </c>
      <c r="B77" s="33" t="n"/>
      <c r="C77" s="32">
        <f>IF(LEN($B77)&lt;14,"",TRIM(MID($B77,1,14)))</f>
        <v/>
      </c>
      <c r="D77" s="34">
        <f>IF(LEN($B77)&lt;22,"",DATE(VALUE(MID($B77,19,4)),VALUE(MID($B77,17,2)),VALUE(MID($B77,15,2))))</f>
        <v/>
      </c>
      <c r="E77" s="35">
        <f>IF(LEN($B77)&lt;45,"",VALUE(MID($B77,23,23)))</f>
        <v/>
      </c>
      <c r="F77" s="36">
        <f>IF(LEN($B77)&lt;46,"",MID($B77,46,1))</f>
        <v/>
      </c>
      <c r="G77" s="32">
        <f>IF(LEN($B77)&lt;116,"",TRIM(MID($B77,82,35)))</f>
        <v/>
      </c>
      <c r="H77" s="37">
        <f>IF($E77="","",$E77/IF(ttAmountUnit="Paise",1,100))</f>
        <v/>
      </c>
      <c r="I77" s="32">
        <f>IF($G77="","",IF($J77=0,"-- no match --",INDEX(Entries!$B$5:$B$104,$J77)))</f>
        <v/>
      </c>
      <c r="J77" s="38">
        <f>IF($G77="","",SUMPRODUCT(MAX((Entries!$H$5:$H$104&lt;&gt;"")*ISNUMBER(SEARCH(Entries!$H$5:$H$104,$G77&amp;""))*(ROW(Entries!$H$5:$H$104)-4))))</f>
        <v/>
      </c>
    </row>
    <row r="78">
      <c r="A78" s="32" t="n">
        <v>69</v>
      </c>
      <c r="B78" s="33" t="n"/>
      <c r="C78" s="32">
        <f>IF(LEN($B78)&lt;14,"",TRIM(MID($B78,1,14)))</f>
        <v/>
      </c>
      <c r="D78" s="34">
        <f>IF(LEN($B78)&lt;22,"",DATE(VALUE(MID($B78,19,4)),VALUE(MID($B78,17,2)),VALUE(MID($B78,15,2))))</f>
        <v/>
      </c>
      <c r="E78" s="35">
        <f>IF(LEN($B78)&lt;45,"",VALUE(MID($B78,23,23)))</f>
        <v/>
      </c>
      <c r="F78" s="36">
        <f>IF(LEN($B78)&lt;46,"",MID($B78,46,1))</f>
        <v/>
      </c>
      <c r="G78" s="32">
        <f>IF(LEN($B78)&lt;116,"",TRIM(MID($B78,82,35)))</f>
        <v/>
      </c>
      <c r="H78" s="37">
        <f>IF($E78="","",$E78/IF(ttAmountUnit="Paise",1,100))</f>
        <v/>
      </c>
      <c r="I78" s="32">
        <f>IF($G78="","",IF($J78=0,"-- no match --",INDEX(Entries!$B$5:$B$104,$J78)))</f>
        <v/>
      </c>
      <c r="J78" s="38">
        <f>IF($G78="","",SUMPRODUCT(MAX((Entries!$H$5:$H$104&lt;&gt;"")*ISNUMBER(SEARCH(Entries!$H$5:$H$104,$G78&amp;""))*(ROW(Entries!$H$5:$H$104)-4))))</f>
        <v/>
      </c>
    </row>
    <row r="79">
      <c r="A79" s="32" t="n">
        <v>70</v>
      </c>
      <c r="B79" s="33" t="n"/>
      <c r="C79" s="32">
        <f>IF(LEN($B79)&lt;14,"",TRIM(MID($B79,1,14)))</f>
        <v/>
      </c>
      <c r="D79" s="34">
        <f>IF(LEN($B79)&lt;22,"",DATE(VALUE(MID($B79,19,4)),VALUE(MID($B79,17,2)),VALUE(MID($B79,15,2))))</f>
        <v/>
      </c>
      <c r="E79" s="35">
        <f>IF(LEN($B79)&lt;45,"",VALUE(MID($B79,23,23)))</f>
        <v/>
      </c>
      <c r="F79" s="36">
        <f>IF(LEN($B79)&lt;46,"",MID($B79,46,1))</f>
        <v/>
      </c>
      <c r="G79" s="32">
        <f>IF(LEN($B79)&lt;116,"",TRIM(MID($B79,82,35)))</f>
        <v/>
      </c>
      <c r="H79" s="37">
        <f>IF($E79="","",$E79/IF(ttAmountUnit="Paise",1,100))</f>
        <v/>
      </c>
      <c r="I79" s="32">
        <f>IF($G79="","",IF($J79=0,"-- no match --",INDEX(Entries!$B$5:$B$104,$J79)))</f>
        <v/>
      </c>
      <c r="J79" s="38">
        <f>IF($G79="","",SUMPRODUCT(MAX((Entries!$H$5:$H$104&lt;&gt;"")*ISNUMBER(SEARCH(Entries!$H$5:$H$104,$G79&amp;""))*(ROW(Entries!$H$5:$H$104)-4))))</f>
        <v/>
      </c>
    </row>
    <row r="80">
      <c r="A80" s="32" t="n">
        <v>71</v>
      </c>
      <c r="B80" s="33" t="n"/>
      <c r="C80" s="32">
        <f>IF(LEN($B80)&lt;14,"",TRIM(MID($B80,1,14)))</f>
        <v/>
      </c>
      <c r="D80" s="34">
        <f>IF(LEN($B80)&lt;22,"",DATE(VALUE(MID($B80,19,4)),VALUE(MID($B80,17,2)),VALUE(MID($B80,15,2))))</f>
        <v/>
      </c>
      <c r="E80" s="35">
        <f>IF(LEN($B80)&lt;45,"",VALUE(MID($B80,23,23)))</f>
        <v/>
      </c>
      <c r="F80" s="36">
        <f>IF(LEN($B80)&lt;46,"",MID($B80,46,1))</f>
        <v/>
      </c>
      <c r="G80" s="32">
        <f>IF(LEN($B80)&lt;116,"",TRIM(MID($B80,82,35)))</f>
        <v/>
      </c>
      <c r="H80" s="37">
        <f>IF($E80="","",$E80/IF(ttAmountUnit="Paise",1,100))</f>
        <v/>
      </c>
      <c r="I80" s="32">
        <f>IF($G80="","",IF($J80=0,"-- no match --",INDEX(Entries!$B$5:$B$104,$J80)))</f>
        <v/>
      </c>
      <c r="J80" s="38">
        <f>IF($G80="","",SUMPRODUCT(MAX((Entries!$H$5:$H$104&lt;&gt;"")*ISNUMBER(SEARCH(Entries!$H$5:$H$104,$G80&amp;""))*(ROW(Entries!$H$5:$H$104)-4))))</f>
        <v/>
      </c>
    </row>
    <row r="81">
      <c r="A81" s="32" t="n">
        <v>72</v>
      </c>
      <c r="B81" s="33" t="n"/>
      <c r="C81" s="32">
        <f>IF(LEN($B81)&lt;14,"",TRIM(MID($B81,1,14)))</f>
        <v/>
      </c>
      <c r="D81" s="34">
        <f>IF(LEN($B81)&lt;22,"",DATE(VALUE(MID($B81,19,4)),VALUE(MID($B81,17,2)),VALUE(MID($B81,15,2))))</f>
        <v/>
      </c>
      <c r="E81" s="35">
        <f>IF(LEN($B81)&lt;45,"",VALUE(MID($B81,23,23)))</f>
        <v/>
      </c>
      <c r="F81" s="36">
        <f>IF(LEN($B81)&lt;46,"",MID($B81,46,1))</f>
        <v/>
      </c>
      <c r="G81" s="32">
        <f>IF(LEN($B81)&lt;116,"",TRIM(MID($B81,82,35)))</f>
        <v/>
      </c>
      <c r="H81" s="37">
        <f>IF($E81="","",$E81/IF(ttAmountUnit="Paise",1,100))</f>
        <v/>
      </c>
      <c r="I81" s="32">
        <f>IF($G81="","",IF($J81=0,"-- no match --",INDEX(Entries!$B$5:$B$104,$J81)))</f>
        <v/>
      </c>
      <c r="J81" s="38">
        <f>IF($G81="","",SUMPRODUCT(MAX((Entries!$H$5:$H$104&lt;&gt;"")*ISNUMBER(SEARCH(Entries!$H$5:$H$104,$G81&amp;""))*(ROW(Entries!$H$5:$H$104)-4))))</f>
        <v/>
      </c>
    </row>
    <row r="82">
      <c r="A82" s="32" t="n">
        <v>73</v>
      </c>
      <c r="B82" s="33" t="n"/>
      <c r="C82" s="32">
        <f>IF(LEN($B82)&lt;14,"",TRIM(MID($B82,1,14)))</f>
        <v/>
      </c>
      <c r="D82" s="34">
        <f>IF(LEN($B82)&lt;22,"",DATE(VALUE(MID($B82,19,4)),VALUE(MID($B82,17,2)),VALUE(MID($B82,15,2))))</f>
        <v/>
      </c>
      <c r="E82" s="35">
        <f>IF(LEN($B82)&lt;45,"",VALUE(MID($B82,23,23)))</f>
        <v/>
      </c>
      <c r="F82" s="36">
        <f>IF(LEN($B82)&lt;46,"",MID($B82,46,1))</f>
        <v/>
      </c>
      <c r="G82" s="32">
        <f>IF(LEN($B82)&lt;116,"",TRIM(MID($B82,82,35)))</f>
        <v/>
      </c>
      <c r="H82" s="37">
        <f>IF($E82="","",$E82/IF(ttAmountUnit="Paise",1,100))</f>
        <v/>
      </c>
      <c r="I82" s="32">
        <f>IF($G82="","",IF($J82=0,"-- no match --",INDEX(Entries!$B$5:$B$104,$J82)))</f>
        <v/>
      </c>
      <c r="J82" s="38">
        <f>IF($G82="","",SUMPRODUCT(MAX((Entries!$H$5:$H$104&lt;&gt;"")*ISNUMBER(SEARCH(Entries!$H$5:$H$104,$G82&amp;""))*(ROW(Entries!$H$5:$H$104)-4))))</f>
        <v/>
      </c>
    </row>
    <row r="83">
      <c r="A83" s="32" t="n">
        <v>74</v>
      </c>
      <c r="B83" s="33" t="n"/>
      <c r="C83" s="32">
        <f>IF(LEN($B83)&lt;14,"",TRIM(MID($B83,1,14)))</f>
        <v/>
      </c>
      <c r="D83" s="34">
        <f>IF(LEN($B83)&lt;22,"",DATE(VALUE(MID($B83,19,4)),VALUE(MID($B83,17,2)),VALUE(MID($B83,15,2))))</f>
        <v/>
      </c>
      <c r="E83" s="35">
        <f>IF(LEN($B83)&lt;45,"",VALUE(MID($B83,23,23)))</f>
        <v/>
      </c>
      <c r="F83" s="36">
        <f>IF(LEN($B83)&lt;46,"",MID($B83,46,1))</f>
        <v/>
      </c>
      <c r="G83" s="32">
        <f>IF(LEN($B83)&lt;116,"",TRIM(MID($B83,82,35)))</f>
        <v/>
      </c>
      <c r="H83" s="37">
        <f>IF($E83="","",$E83/IF(ttAmountUnit="Paise",1,100))</f>
        <v/>
      </c>
      <c r="I83" s="32">
        <f>IF($G83="","",IF($J83=0,"-- no match --",INDEX(Entries!$B$5:$B$104,$J83)))</f>
        <v/>
      </c>
      <c r="J83" s="38">
        <f>IF($G83="","",SUMPRODUCT(MAX((Entries!$H$5:$H$104&lt;&gt;"")*ISNUMBER(SEARCH(Entries!$H$5:$H$104,$G83&amp;""))*(ROW(Entries!$H$5:$H$104)-4))))</f>
        <v/>
      </c>
    </row>
    <row r="84">
      <c r="A84" s="32" t="n">
        <v>75</v>
      </c>
      <c r="B84" s="33" t="n"/>
      <c r="C84" s="32">
        <f>IF(LEN($B84)&lt;14,"",TRIM(MID($B84,1,14)))</f>
        <v/>
      </c>
      <c r="D84" s="34">
        <f>IF(LEN($B84)&lt;22,"",DATE(VALUE(MID($B84,19,4)),VALUE(MID($B84,17,2)),VALUE(MID($B84,15,2))))</f>
        <v/>
      </c>
      <c r="E84" s="35">
        <f>IF(LEN($B84)&lt;45,"",VALUE(MID($B84,23,23)))</f>
        <v/>
      </c>
      <c r="F84" s="36">
        <f>IF(LEN($B84)&lt;46,"",MID($B84,46,1))</f>
        <v/>
      </c>
      <c r="G84" s="32">
        <f>IF(LEN($B84)&lt;116,"",TRIM(MID($B84,82,35)))</f>
        <v/>
      </c>
      <c r="H84" s="37">
        <f>IF($E84="","",$E84/IF(ttAmountUnit="Paise",1,100))</f>
        <v/>
      </c>
      <c r="I84" s="32">
        <f>IF($G84="","",IF($J84=0,"-- no match --",INDEX(Entries!$B$5:$B$104,$J84)))</f>
        <v/>
      </c>
      <c r="J84" s="38">
        <f>IF($G84="","",SUMPRODUCT(MAX((Entries!$H$5:$H$104&lt;&gt;"")*ISNUMBER(SEARCH(Entries!$H$5:$H$104,$G84&amp;""))*(ROW(Entries!$H$5:$H$104)-4))))</f>
        <v/>
      </c>
    </row>
    <row r="85">
      <c r="A85" s="32" t="n">
        <v>76</v>
      </c>
      <c r="B85" s="33" t="n"/>
      <c r="C85" s="32">
        <f>IF(LEN($B85)&lt;14,"",TRIM(MID($B85,1,14)))</f>
        <v/>
      </c>
      <c r="D85" s="34">
        <f>IF(LEN($B85)&lt;22,"",DATE(VALUE(MID($B85,19,4)),VALUE(MID($B85,17,2)),VALUE(MID($B85,15,2))))</f>
        <v/>
      </c>
      <c r="E85" s="35">
        <f>IF(LEN($B85)&lt;45,"",VALUE(MID($B85,23,23)))</f>
        <v/>
      </c>
      <c r="F85" s="36">
        <f>IF(LEN($B85)&lt;46,"",MID($B85,46,1))</f>
        <v/>
      </c>
      <c r="G85" s="32">
        <f>IF(LEN($B85)&lt;116,"",TRIM(MID($B85,82,35)))</f>
        <v/>
      </c>
      <c r="H85" s="37">
        <f>IF($E85="","",$E85/IF(ttAmountUnit="Paise",1,100))</f>
        <v/>
      </c>
      <c r="I85" s="32">
        <f>IF($G85="","",IF($J85=0,"-- no match --",INDEX(Entries!$B$5:$B$104,$J85)))</f>
        <v/>
      </c>
      <c r="J85" s="38">
        <f>IF($G85="","",SUMPRODUCT(MAX((Entries!$H$5:$H$104&lt;&gt;"")*ISNUMBER(SEARCH(Entries!$H$5:$H$104,$G85&amp;""))*(ROW(Entries!$H$5:$H$104)-4))))</f>
        <v/>
      </c>
    </row>
    <row r="86">
      <c r="A86" s="32" t="n">
        <v>77</v>
      </c>
      <c r="B86" s="33" t="n"/>
      <c r="C86" s="32">
        <f>IF(LEN($B86)&lt;14,"",TRIM(MID($B86,1,14)))</f>
        <v/>
      </c>
      <c r="D86" s="34">
        <f>IF(LEN($B86)&lt;22,"",DATE(VALUE(MID($B86,19,4)),VALUE(MID($B86,17,2)),VALUE(MID($B86,15,2))))</f>
        <v/>
      </c>
      <c r="E86" s="35">
        <f>IF(LEN($B86)&lt;45,"",VALUE(MID($B86,23,23)))</f>
        <v/>
      </c>
      <c r="F86" s="36">
        <f>IF(LEN($B86)&lt;46,"",MID($B86,46,1))</f>
        <v/>
      </c>
      <c r="G86" s="32">
        <f>IF(LEN($B86)&lt;116,"",TRIM(MID($B86,82,35)))</f>
        <v/>
      </c>
      <c r="H86" s="37">
        <f>IF($E86="","",$E86/IF(ttAmountUnit="Paise",1,100))</f>
        <v/>
      </c>
      <c r="I86" s="32">
        <f>IF($G86="","",IF($J86=0,"-- no match --",INDEX(Entries!$B$5:$B$104,$J86)))</f>
        <v/>
      </c>
      <c r="J86" s="38">
        <f>IF($G86="","",SUMPRODUCT(MAX((Entries!$H$5:$H$104&lt;&gt;"")*ISNUMBER(SEARCH(Entries!$H$5:$H$104,$G86&amp;""))*(ROW(Entries!$H$5:$H$104)-4))))</f>
        <v/>
      </c>
    </row>
    <row r="87">
      <c r="A87" s="32" t="n">
        <v>78</v>
      </c>
      <c r="B87" s="33" t="n"/>
      <c r="C87" s="32">
        <f>IF(LEN($B87)&lt;14,"",TRIM(MID($B87,1,14)))</f>
        <v/>
      </c>
      <c r="D87" s="34">
        <f>IF(LEN($B87)&lt;22,"",DATE(VALUE(MID($B87,19,4)),VALUE(MID($B87,17,2)),VALUE(MID($B87,15,2))))</f>
        <v/>
      </c>
      <c r="E87" s="35">
        <f>IF(LEN($B87)&lt;45,"",VALUE(MID($B87,23,23)))</f>
        <v/>
      </c>
      <c r="F87" s="36">
        <f>IF(LEN($B87)&lt;46,"",MID($B87,46,1))</f>
        <v/>
      </c>
      <c r="G87" s="32">
        <f>IF(LEN($B87)&lt;116,"",TRIM(MID($B87,82,35)))</f>
        <v/>
      </c>
      <c r="H87" s="37">
        <f>IF($E87="","",$E87/IF(ttAmountUnit="Paise",1,100))</f>
        <v/>
      </c>
      <c r="I87" s="32">
        <f>IF($G87="","",IF($J87=0,"-- no match --",INDEX(Entries!$B$5:$B$104,$J87)))</f>
        <v/>
      </c>
      <c r="J87" s="38">
        <f>IF($G87="","",SUMPRODUCT(MAX((Entries!$H$5:$H$104&lt;&gt;"")*ISNUMBER(SEARCH(Entries!$H$5:$H$104,$G87&amp;""))*(ROW(Entries!$H$5:$H$104)-4))))</f>
        <v/>
      </c>
    </row>
    <row r="88">
      <c r="A88" s="32" t="n">
        <v>79</v>
      </c>
      <c r="B88" s="33" t="n"/>
      <c r="C88" s="32">
        <f>IF(LEN($B88)&lt;14,"",TRIM(MID($B88,1,14)))</f>
        <v/>
      </c>
      <c r="D88" s="34">
        <f>IF(LEN($B88)&lt;22,"",DATE(VALUE(MID($B88,19,4)),VALUE(MID($B88,17,2)),VALUE(MID($B88,15,2))))</f>
        <v/>
      </c>
      <c r="E88" s="35">
        <f>IF(LEN($B88)&lt;45,"",VALUE(MID($B88,23,23)))</f>
        <v/>
      </c>
      <c r="F88" s="36">
        <f>IF(LEN($B88)&lt;46,"",MID($B88,46,1))</f>
        <v/>
      </c>
      <c r="G88" s="32">
        <f>IF(LEN($B88)&lt;116,"",TRIM(MID($B88,82,35)))</f>
        <v/>
      </c>
      <c r="H88" s="37">
        <f>IF($E88="","",$E88/IF(ttAmountUnit="Paise",1,100))</f>
        <v/>
      </c>
      <c r="I88" s="32">
        <f>IF($G88="","",IF($J88=0,"-- no match --",INDEX(Entries!$B$5:$B$104,$J88)))</f>
        <v/>
      </c>
      <c r="J88" s="38">
        <f>IF($G88="","",SUMPRODUCT(MAX((Entries!$H$5:$H$104&lt;&gt;"")*ISNUMBER(SEARCH(Entries!$H$5:$H$104,$G88&amp;""))*(ROW(Entries!$H$5:$H$104)-4))))</f>
        <v/>
      </c>
    </row>
    <row r="89">
      <c r="A89" s="32" t="n">
        <v>80</v>
      </c>
      <c r="B89" s="33" t="n"/>
      <c r="C89" s="32">
        <f>IF(LEN($B89)&lt;14,"",TRIM(MID($B89,1,14)))</f>
        <v/>
      </c>
      <c r="D89" s="34">
        <f>IF(LEN($B89)&lt;22,"",DATE(VALUE(MID($B89,19,4)),VALUE(MID($B89,17,2)),VALUE(MID($B89,15,2))))</f>
        <v/>
      </c>
      <c r="E89" s="35">
        <f>IF(LEN($B89)&lt;45,"",VALUE(MID($B89,23,23)))</f>
        <v/>
      </c>
      <c r="F89" s="36">
        <f>IF(LEN($B89)&lt;46,"",MID($B89,46,1))</f>
        <v/>
      </c>
      <c r="G89" s="32">
        <f>IF(LEN($B89)&lt;116,"",TRIM(MID($B89,82,35)))</f>
        <v/>
      </c>
      <c r="H89" s="37">
        <f>IF($E89="","",$E89/IF(ttAmountUnit="Paise",1,100))</f>
        <v/>
      </c>
      <c r="I89" s="32">
        <f>IF($G89="","",IF($J89=0,"-- no match --",INDEX(Entries!$B$5:$B$104,$J89)))</f>
        <v/>
      </c>
      <c r="J89" s="38">
        <f>IF($G89="","",SUMPRODUCT(MAX((Entries!$H$5:$H$104&lt;&gt;"")*ISNUMBER(SEARCH(Entries!$H$5:$H$104,$G89&amp;""))*(ROW(Entries!$H$5:$H$104)-4))))</f>
        <v/>
      </c>
    </row>
    <row r="90">
      <c r="A90" s="32" t="n">
        <v>81</v>
      </c>
      <c r="B90" s="33" t="n"/>
      <c r="C90" s="32">
        <f>IF(LEN($B90)&lt;14,"",TRIM(MID($B90,1,14)))</f>
        <v/>
      </c>
      <c r="D90" s="34">
        <f>IF(LEN($B90)&lt;22,"",DATE(VALUE(MID($B90,19,4)),VALUE(MID($B90,17,2)),VALUE(MID($B90,15,2))))</f>
        <v/>
      </c>
      <c r="E90" s="35">
        <f>IF(LEN($B90)&lt;45,"",VALUE(MID($B90,23,23)))</f>
        <v/>
      </c>
      <c r="F90" s="36">
        <f>IF(LEN($B90)&lt;46,"",MID($B90,46,1))</f>
        <v/>
      </c>
      <c r="G90" s="32">
        <f>IF(LEN($B90)&lt;116,"",TRIM(MID($B90,82,35)))</f>
        <v/>
      </c>
      <c r="H90" s="37">
        <f>IF($E90="","",$E90/IF(ttAmountUnit="Paise",1,100))</f>
        <v/>
      </c>
      <c r="I90" s="32">
        <f>IF($G90="","",IF($J90=0,"-- no match --",INDEX(Entries!$B$5:$B$104,$J90)))</f>
        <v/>
      </c>
      <c r="J90" s="38">
        <f>IF($G90="","",SUMPRODUCT(MAX((Entries!$H$5:$H$104&lt;&gt;"")*ISNUMBER(SEARCH(Entries!$H$5:$H$104,$G90&amp;""))*(ROW(Entries!$H$5:$H$104)-4))))</f>
        <v/>
      </c>
    </row>
    <row r="91">
      <c r="A91" s="32" t="n">
        <v>82</v>
      </c>
      <c r="B91" s="33" t="n"/>
      <c r="C91" s="32">
        <f>IF(LEN($B91)&lt;14,"",TRIM(MID($B91,1,14)))</f>
        <v/>
      </c>
      <c r="D91" s="34">
        <f>IF(LEN($B91)&lt;22,"",DATE(VALUE(MID($B91,19,4)),VALUE(MID($B91,17,2)),VALUE(MID($B91,15,2))))</f>
        <v/>
      </c>
      <c r="E91" s="35">
        <f>IF(LEN($B91)&lt;45,"",VALUE(MID($B91,23,23)))</f>
        <v/>
      </c>
      <c r="F91" s="36">
        <f>IF(LEN($B91)&lt;46,"",MID($B91,46,1))</f>
        <v/>
      </c>
      <c r="G91" s="32">
        <f>IF(LEN($B91)&lt;116,"",TRIM(MID($B91,82,35)))</f>
        <v/>
      </c>
      <c r="H91" s="37">
        <f>IF($E91="","",$E91/IF(ttAmountUnit="Paise",1,100))</f>
        <v/>
      </c>
      <c r="I91" s="32">
        <f>IF($G91="","",IF($J91=0,"-- no match --",INDEX(Entries!$B$5:$B$104,$J91)))</f>
        <v/>
      </c>
      <c r="J91" s="38">
        <f>IF($G91="","",SUMPRODUCT(MAX((Entries!$H$5:$H$104&lt;&gt;"")*ISNUMBER(SEARCH(Entries!$H$5:$H$104,$G91&amp;""))*(ROW(Entries!$H$5:$H$104)-4))))</f>
        <v/>
      </c>
    </row>
    <row r="92">
      <c r="A92" s="32" t="n">
        <v>83</v>
      </c>
      <c r="B92" s="33" t="n"/>
      <c r="C92" s="32">
        <f>IF(LEN($B92)&lt;14,"",TRIM(MID($B92,1,14)))</f>
        <v/>
      </c>
      <c r="D92" s="34">
        <f>IF(LEN($B92)&lt;22,"",DATE(VALUE(MID($B92,19,4)),VALUE(MID($B92,17,2)),VALUE(MID($B92,15,2))))</f>
        <v/>
      </c>
      <c r="E92" s="35">
        <f>IF(LEN($B92)&lt;45,"",VALUE(MID($B92,23,23)))</f>
        <v/>
      </c>
      <c r="F92" s="36">
        <f>IF(LEN($B92)&lt;46,"",MID($B92,46,1))</f>
        <v/>
      </c>
      <c r="G92" s="32">
        <f>IF(LEN($B92)&lt;116,"",TRIM(MID($B92,82,35)))</f>
        <v/>
      </c>
      <c r="H92" s="37">
        <f>IF($E92="","",$E92/IF(ttAmountUnit="Paise",1,100))</f>
        <v/>
      </c>
      <c r="I92" s="32">
        <f>IF($G92="","",IF($J92=0,"-- no match --",INDEX(Entries!$B$5:$B$104,$J92)))</f>
        <v/>
      </c>
      <c r="J92" s="38">
        <f>IF($G92="","",SUMPRODUCT(MAX((Entries!$H$5:$H$104&lt;&gt;"")*ISNUMBER(SEARCH(Entries!$H$5:$H$104,$G92&amp;""))*(ROW(Entries!$H$5:$H$104)-4))))</f>
        <v/>
      </c>
    </row>
    <row r="93">
      <c r="A93" s="32" t="n">
        <v>84</v>
      </c>
      <c r="B93" s="33" t="n"/>
      <c r="C93" s="32">
        <f>IF(LEN($B93)&lt;14,"",TRIM(MID($B93,1,14)))</f>
        <v/>
      </c>
      <c r="D93" s="34">
        <f>IF(LEN($B93)&lt;22,"",DATE(VALUE(MID($B93,19,4)),VALUE(MID($B93,17,2)),VALUE(MID($B93,15,2))))</f>
        <v/>
      </c>
      <c r="E93" s="35">
        <f>IF(LEN($B93)&lt;45,"",VALUE(MID($B93,23,23)))</f>
        <v/>
      </c>
      <c r="F93" s="36">
        <f>IF(LEN($B93)&lt;46,"",MID($B93,46,1))</f>
        <v/>
      </c>
      <c r="G93" s="32">
        <f>IF(LEN($B93)&lt;116,"",TRIM(MID($B93,82,35)))</f>
        <v/>
      </c>
      <c r="H93" s="37">
        <f>IF($E93="","",$E93/IF(ttAmountUnit="Paise",1,100))</f>
        <v/>
      </c>
      <c r="I93" s="32">
        <f>IF($G93="","",IF($J93=0,"-- no match --",INDEX(Entries!$B$5:$B$104,$J93)))</f>
        <v/>
      </c>
      <c r="J93" s="38">
        <f>IF($G93="","",SUMPRODUCT(MAX((Entries!$H$5:$H$104&lt;&gt;"")*ISNUMBER(SEARCH(Entries!$H$5:$H$104,$G93&amp;""))*(ROW(Entries!$H$5:$H$104)-4))))</f>
        <v/>
      </c>
    </row>
    <row r="94">
      <c r="A94" s="32" t="n">
        <v>85</v>
      </c>
      <c r="B94" s="33" t="n"/>
      <c r="C94" s="32">
        <f>IF(LEN($B94)&lt;14,"",TRIM(MID($B94,1,14)))</f>
        <v/>
      </c>
      <c r="D94" s="34">
        <f>IF(LEN($B94)&lt;22,"",DATE(VALUE(MID($B94,19,4)),VALUE(MID($B94,17,2)),VALUE(MID($B94,15,2))))</f>
        <v/>
      </c>
      <c r="E94" s="35">
        <f>IF(LEN($B94)&lt;45,"",VALUE(MID($B94,23,23)))</f>
        <v/>
      </c>
      <c r="F94" s="36">
        <f>IF(LEN($B94)&lt;46,"",MID($B94,46,1))</f>
        <v/>
      </c>
      <c r="G94" s="32">
        <f>IF(LEN($B94)&lt;116,"",TRIM(MID($B94,82,35)))</f>
        <v/>
      </c>
      <c r="H94" s="37">
        <f>IF($E94="","",$E94/IF(ttAmountUnit="Paise",1,100))</f>
        <v/>
      </c>
      <c r="I94" s="32">
        <f>IF($G94="","",IF($J94=0,"-- no match --",INDEX(Entries!$B$5:$B$104,$J94)))</f>
        <v/>
      </c>
      <c r="J94" s="38">
        <f>IF($G94="","",SUMPRODUCT(MAX((Entries!$H$5:$H$104&lt;&gt;"")*ISNUMBER(SEARCH(Entries!$H$5:$H$104,$G94&amp;""))*(ROW(Entries!$H$5:$H$104)-4))))</f>
        <v/>
      </c>
    </row>
    <row r="95">
      <c r="A95" s="32" t="n">
        <v>86</v>
      </c>
      <c r="B95" s="33" t="n"/>
      <c r="C95" s="32">
        <f>IF(LEN($B95)&lt;14,"",TRIM(MID($B95,1,14)))</f>
        <v/>
      </c>
      <c r="D95" s="34">
        <f>IF(LEN($B95)&lt;22,"",DATE(VALUE(MID($B95,19,4)),VALUE(MID($B95,17,2)),VALUE(MID($B95,15,2))))</f>
        <v/>
      </c>
      <c r="E95" s="35">
        <f>IF(LEN($B95)&lt;45,"",VALUE(MID($B95,23,23)))</f>
        <v/>
      </c>
      <c r="F95" s="36">
        <f>IF(LEN($B95)&lt;46,"",MID($B95,46,1))</f>
        <v/>
      </c>
      <c r="G95" s="32">
        <f>IF(LEN($B95)&lt;116,"",TRIM(MID($B95,82,35)))</f>
        <v/>
      </c>
      <c r="H95" s="37">
        <f>IF($E95="","",$E95/IF(ttAmountUnit="Paise",1,100))</f>
        <v/>
      </c>
      <c r="I95" s="32">
        <f>IF($G95="","",IF($J95=0,"-- no match --",INDEX(Entries!$B$5:$B$104,$J95)))</f>
        <v/>
      </c>
      <c r="J95" s="38">
        <f>IF($G95="","",SUMPRODUCT(MAX((Entries!$H$5:$H$104&lt;&gt;"")*ISNUMBER(SEARCH(Entries!$H$5:$H$104,$G95&amp;""))*(ROW(Entries!$H$5:$H$104)-4))))</f>
        <v/>
      </c>
    </row>
    <row r="96">
      <c r="A96" s="32" t="n">
        <v>87</v>
      </c>
      <c r="B96" s="33" t="n"/>
      <c r="C96" s="32">
        <f>IF(LEN($B96)&lt;14,"",TRIM(MID($B96,1,14)))</f>
        <v/>
      </c>
      <c r="D96" s="34">
        <f>IF(LEN($B96)&lt;22,"",DATE(VALUE(MID($B96,19,4)),VALUE(MID($B96,17,2)),VALUE(MID($B96,15,2))))</f>
        <v/>
      </c>
      <c r="E96" s="35">
        <f>IF(LEN($B96)&lt;45,"",VALUE(MID($B96,23,23)))</f>
        <v/>
      </c>
      <c r="F96" s="36">
        <f>IF(LEN($B96)&lt;46,"",MID($B96,46,1))</f>
        <v/>
      </c>
      <c r="G96" s="32">
        <f>IF(LEN($B96)&lt;116,"",TRIM(MID($B96,82,35)))</f>
        <v/>
      </c>
      <c r="H96" s="37">
        <f>IF($E96="","",$E96/IF(ttAmountUnit="Paise",1,100))</f>
        <v/>
      </c>
      <c r="I96" s="32">
        <f>IF($G96="","",IF($J96=0,"-- no match --",INDEX(Entries!$B$5:$B$104,$J96)))</f>
        <v/>
      </c>
      <c r="J96" s="38">
        <f>IF($G96="","",SUMPRODUCT(MAX((Entries!$H$5:$H$104&lt;&gt;"")*ISNUMBER(SEARCH(Entries!$H$5:$H$104,$G96&amp;""))*(ROW(Entries!$H$5:$H$104)-4))))</f>
        <v/>
      </c>
    </row>
    <row r="97">
      <c r="A97" s="32" t="n">
        <v>88</v>
      </c>
      <c r="B97" s="33" t="n"/>
      <c r="C97" s="32">
        <f>IF(LEN($B97)&lt;14,"",TRIM(MID($B97,1,14)))</f>
        <v/>
      </c>
      <c r="D97" s="34">
        <f>IF(LEN($B97)&lt;22,"",DATE(VALUE(MID($B97,19,4)),VALUE(MID($B97,17,2)),VALUE(MID($B97,15,2))))</f>
        <v/>
      </c>
      <c r="E97" s="35">
        <f>IF(LEN($B97)&lt;45,"",VALUE(MID($B97,23,23)))</f>
        <v/>
      </c>
      <c r="F97" s="36">
        <f>IF(LEN($B97)&lt;46,"",MID($B97,46,1))</f>
        <v/>
      </c>
      <c r="G97" s="32">
        <f>IF(LEN($B97)&lt;116,"",TRIM(MID($B97,82,35)))</f>
        <v/>
      </c>
      <c r="H97" s="37">
        <f>IF($E97="","",$E97/IF(ttAmountUnit="Paise",1,100))</f>
        <v/>
      </c>
      <c r="I97" s="32">
        <f>IF($G97="","",IF($J97=0,"-- no match --",INDEX(Entries!$B$5:$B$104,$J97)))</f>
        <v/>
      </c>
      <c r="J97" s="38">
        <f>IF($G97="","",SUMPRODUCT(MAX((Entries!$H$5:$H$104&lt;&gt;"")*ISNUMBER(SEARCH(Entries!$H$5:$H$104,$G97&amp;""))*(ROW(Entries!$H$5:$H$104)-4))))</f>
        <v/>
      </c>
    </row>
    <row r="98">
      <c r="A98" s="32" t="n">
        <v>89</v>
      </c>
      <c r="B98" s="33" t="n"/>
      <c r="C98" s="32">
        <f>IF(LEN($B98)&lt;14,"",TRIM(MID($B98,1,14)))</f>
        <v/>
      </c>
      <c r="D98" s="34">
        <f>IF(LEN($B98)&lt;22,"",DATE(VALUE(MID($B98,19,4)),VALUE(MID($B98,17,2)),VALUE(MID($B98,15,2))))</f>
        <v/>
      </c>
      <c r="E98" s="35">
        <f>IF(LEN($B98)&lt;45,"",VALUE(MID($B98,23,23)))</f>
        <v/>
      </c>
      <c r="F98" s="36">
        <f>IF(LEN($B98)&lt;46,"",MID($B98,46,1))</f>
        <v/>
      </c>
      <c r="G98" s="32">
        <f>IF(LEN($B98)&lt;116,"",TRIM(MID($B98,82,35)))</f>
        <v/>
      </c>
      <c r="H98" s="37">
        <f>IF($E98="","",$E98/IF(ttAmountUnit="Paise",1,100))</f>
        <v/>
      </c>
      <c r="I98" s="32">
        <f>IF($G98="","",IF($J98=0,"-- no match --",INDEX(Entries!$B$5:$B$104,$J98)))</f>
        <v/>
      </c>
      <c r="J98" s="38">
        <f>IF($G98="","",SUMPRODUCT(MAX((Entries!$H$5:$H$104&lt;&gt;"")*ISNUMBER(SEARCH(Entries!$H$5:$H$104,$G98&amp;""))*(ROW(Entries!$H$5:$H$104)-4))))</f>
        <v/>
      </c>
    </row>
    <row r="99">
      <c r="A99" s="32" t="n">
        <v>90</v>
      </c>
      <c r="B99" s="33" t="n"/>
      <c r="C99" s="32">
        <f>IF(LEN($B99)&lt;14,"",TRIM(MID($B99,1,14)))</f>
        <v/>
      </c>
      <c r="D99" s="34">
        <f>IF(LEN($B99)&lt;22,"",DATE(VALUE(MID($B99,19,4)),VALUE(MID($B99,17,2)),VALUE(MID($B99,15,2))))</f>
        <v/>
      </c>
      <c r="E99" s="35">
        <f>IF(LEN($B99)&lt;45,"",VALUE(MID($B99,23,23)))</f>
        <v/>
      </c>
      <c r="F99" s="36">
        <f>IF(LEN($B99)&lt;46,"",MID($B99,46,1))</f>
        <v/>
      </c>
      <c r="G99" s="32">
        <f>IF(LEN($B99)&lt;116,"",TRIM(MID($B99,82,35)))</f>
        <v/>
      </c>
      <c r="H99" s="37">
        <f>IF($E99="","",$E99/IF(ttAmountUnit="Paise",1,100))</f>
        <v/>
      </c>
      <c r="I99" s="32">
        <f>IF($G99="","",IF($J99=0,"-- no match --",INDEX(Entries!$B$5:$B$104,$J99)))</f>
        <v/>
      </c>
      <c r="J99" s="38">
        <f>IF($G99="","",SUMPRODUCT(MAX((Entries!$H$5:$H$104&lt;&gt;"")*ISNUMBER(SEARCH(Entries!$H$5:$H$104,$G99&amp;""))*(ROW(Entries!$H$5:$H$104)-4))))</f>
        <v/>
      </c>
    </row>
    <row r="100">
      <c r="A100" s="32" t="n">
        <v>91</v>
      </c>
      <c r="B100" s="33" t="n"/>
      <c r="C100" s="32">
        <f>IF(LEN($B100)&lt;14,"",TRIM(MID($B100,1,14)))</f>
        <v/>
      </c>
      <c r="D100" s="34">
        <f>IF(LEN($B100)&lt;22,"",DATE(VALUE(MID($B100,19,4)),VALUE(MID($B100,17,2)),VALUE(MID($B100,15,2))))</f>
        <v/>
      </c>
      <c r="E100" s="35">
        <f>IF(LEN($B100)&lt;45,"",VALUE(MID($B100,23,23)))</f>
        <v/>
      </c>
      <c r="F100" s="36">
        <f>IF(LEN($B100)&lt;46,"",MID($B100,46,1))</f>
        <v/>
      </c>
      <c r="G100" s="32">
        <f>IF(LEN($B100)&lt;116,"",TRIM(MID($B100,82,35)))</f>
        <v/>
      </c>
      <c r="H100" s="37">
        <f>IF($E100="","",$E100/IF(ttAmountUnit="Paise",1,100))</f>
        <v/>
      </c>
      <c r="I100" s="32">
        <f>IF($G100="","",IF($J100=0,"-- no match --",INDEX(Entries!$B$5:$B$104,$J100)))</f>
        <v/>
      </c>
      <c r="J100" s="38">
        <f>IF($G100="","",SUMPRODUCT(MAX((Entries!$H$5:$H$104&lt;&gt;"")*ISNUMBER(SEARCH(Entries!$H$5:$H$104,$G100&amp;""))*(ROW(Entries!$H$5:$H$104)-4))))</f>
        <v/>
      </c>
    </row>
    <row r="101">
      <c r="A101" s="32" t="n">
        <v>92</v>
      </c>
      <c r="B101" s="33" t="n"/>
      <c r="C101" s="32">
        <f>IF(LEN($B101)&lt;14,"",TRIM(MID($B101,1,14)))</f>
        <v/>
      </c>
      <c r="D101" s="34">
        <f>IF(LEN($B101)&lt;22,"",DATE(VALUE(MID($B101,19,4)),VALUE(MID($B101,17,2)),VALUE(MID($B101,15,2))))</f>
        <v/>
      </c>
      <c r="E101" s="35">
        <f>IF(LEN($B101)&lt;45,"",VALUE(MID($B101,23,23)))</f>
        <v/>
      </c>
      <c r="F101" s="36">
        <f>IF(LEN($B101)&lt;46,"",MID($B101,46,1))</f>
        <v/>
      </c>
      <c r="G101" s="32">
        <f>IF(LEN($B101)&lt;116,"",TRIM(MID($B101,82,35)))</f>
        <v/>
      </c>
      <c r="H101" s="37">
        <f>IF($E101="","",$E101/IF(ttAmountUnit="Paise",1,100))</f>
        <v/>
      </c>
      <c r="I101" s="32">
        <f>IF($G101="","",IF($J101=0,"-- no match --",INDEX(Entries!$B$5:$B$104,$J101)))</f>
        <v/>
      </c>
      <c r="J101" s="38">
        <f>IF($G101="","",SUMPRODUCT(MAX((Entries!$H$5:$H$104&lt;&gt;"")*ISNUMBER(SEARCH(Entries!$H$5:$H$104,$G101&amp;""))*(ROW(Entries!$H$5:$H$104)-4))))</f>
        <v/>
      </c>
    </row>
    <row r="102">
      <c r="A102" s="32" t="n">
        <v>93</v>
      </c>
      <c r="B102" s="33" t="n"/>
      <c r="C102" s="32">
        <f>IF(LEN($B102)&lt;14,"",TRIM(MID($B102,1,14)))</f>
        <v/>
      </c>
      <c r="D102" s="34">
        <f>IF(LEN($B102)&lt;22,"",DATE(VALUE(MID($B102,19,4)),VALUE(MID($B102,17,2)),VALUE(MID($B102,15,2))))</f>
        <v/>
      </c>
      <c r="E102" s="35">
        <f>IF(LEN($B102)&lt;45,"",VALUE(MID($B102,23,23)))</f>
        <v/>
      </c>
      <c r="F102" s="36">
        <f>IF(LEN($B102)&lt;46,"",MID($B102,46,1))</f>
        <v/>
      </c>
      <c r="G102" s="32">
        <f>IF(LEN($B102)&lt;116,"",TRIM(MID($B102,82,35)))</f>
        <v/>
      </c>
      <c r="H102" s="37">
        <f>IF($E102="","",$E102/IF(ttAmountUnit="Paise",1,100))</f>
        <v/>
      </c>
      <c r="I102" s="32">
        <f>IF($G102="","",IF($J102=0,"-- no match --",INDEX(Entries!$B$5:$B$104,$J102)))</f>
        <v/>
      </c>
      <c r="J102" s="38">
        <f>IF($G102="","",SUMPRODUCT(MAX((Entries!$H$5:$H$104&lt;&gt;"")*ISNUMBER(SEARCH(Entries!$H$5:$H$104,$G102&amp;""))*(ROW(Entries!$H$5:$H$104)-4))))</f>
        <v/>
      </c>
    </row>
    <row r="103">
      <c r="A103" s="32" t="n">
        <v>94</v>
      </c>
      <c r="B103" s="33" t="n"/>
      <c r="C103" s="32">
        <f>IF(LEN($B103)&lt;14,"",TRIM(MID($B103,1,14)))</f>
        <v/>
      </c>
      <c r="D103" s="34">
        <f>IF(LEN($B103)&lt;22,"",DATE(VALUE(MID($B103,19,4)),VALUE(MID($B103,17,2)),VALUE(MID($B103,15,2))))</f>
        <v/>
      </c>
      <c r="E103" s="35">
        <f>IF(LEN($B103)&lt;45,"",VALUE(MID($B103,23,23)))</f>
        <v/>
      </c>
      <c r="F103" s="36">
        <f>IF(LEN($B103)&lt;46,"",MID($B103,46,1))</f>
        <v/>
      </c>
      <c r="G103" s="32">
        <f>IF(LEN($B103)&lt;116,"",TRIM(MID($B103,82,35)))</f>
        <v/>
      </c>
      <c r="H103" s="37">
        <f>IF($E103="","",$E103/IF(ttAmountUnit="Paise",1,100))</f>
        <v/>
      </c>
      <c r="I103" s="32">
        <f>IF($G103="","",IF($J103=0,"-- no match --",INDEX(Entries!$B$5:$B$104,$J103)))</f>
        <v/>
      </c>
      <c r="J103" s="38">
        <f>IF($G103="","",SUMPRODUCT(MAX((Entries!$H$5:$H$104&lt;&gt;"")*ISNUMBER(SEARCH(Entries!$H$5:$H$104,$G103&amp;""))*(ROW(Entries!$H$5:$H$104)-4))))</f>
        <v/>
      </c>
    </row>
    <row r="104">
      <c r="A104" s="32" t="n">
        <v>95</v>
      </c>
      <c r="B104" s="33" t="n"/>
      <c r="C104" s="32">
        <f>IF(LEN($B104)&lt;14,"",TRIM(MID($B104,1,14)))</f>
        <v/>
      </c>
      <c r="D104" s="34">
        <f>IF(LEN($B104)&lt;22,"",DATE(VALUE(MID($B104,19,4)),VALUE(MID($B104,17,2)),VALUE(MID($B104,15,2))))</f>
        <v/>
      </c>
      <c r="E104" s="35">
        <f>IF(LEN($B104)&lt;45,"",VALUE(MID($B104,23,23)))</f>
        <v/>
      </c>
      <c r="F104" s="36">
        <f>IF(LEN($B104)&lt;46,"",MID($B104,46,1))</f>
        <v/>
      </c>
      <c r="G104" s="32">
        <f>IF(LEN($B104)&lt;116,"",TRIM(MID($B104,82,35)))</f>
        <v/>
      </c>
      <c r="H104" s="37">
        <f>IF($E104="","",$E104/IF(ttAmountUnit="Paise",1,100))</f>
        <v/>
      </c>
      <c r="I104" s="32">
        <f>IF($G104="","",IF($J104=0,"-- no match --",INDEX(Entries!$B$5:$B$104,$J104)))</f>
        <v/>
      </c>
      <c r="J104" s="38">
        <f>IF($G104="","",SUMPRODUCT(MAX((Entries!$H$5:$H$104&lt;&gt;"")*ISNUMBER(SEARCH(Entries!$H$5:$H$104,$G104&amp;""))*(ROW(Entries!$H$5:$H$104)-4))))</f>
        <v/>
      </c>
    </row>
    <row r="105">
      <c r="A105" s="32" t="n">
        <v>96</v>
      </c>
      <c r="B105" s="33" t="n"/>
      <c r="C105" s="32">
        <f>IF(LEN($B105)&lt;14,"",TRIM(MID($B105,1,14)))</f>
        <v/>
      </c>
      <c r="D105" s="34">
        <f>IF(LEN($B105)&lt;22,"",DATE(VALUE(MID($B105,19,4)),VALUE(MID($B105,17,2)),VALUE(MID($B105,15,2))))</f>
        <v/>
      </c>
      <c r="E105" s="35">
        <f>IF(LEN($B105)&lt;45,"",VALUE(MID($B105,23,23)))</f>
        <v/>
      </c>
      <c r="F105" s="36">
        <f>IF(LEN($B105)&lt;46,"",MID($B105,46,1))</f>
        <v/>
      </c>
      <c r="G105" s="32">
        <f>IF(LEN($B105)&lt;116,"",TRIM(MID($B105,82,35)))</f>
        <v/>
      </c>
      <c r="H105" s="37">
        <f>IF($E105="","",$E105/IF(ttAmountUnit="Paise",1,100))</f>
        <v/>
      </c>
      <c r="I105" s="32">
        <f>IF($G105="","",IF($J105=0,"-- no match --",INDEX(Entries!$B$5:$B$104,$J105)))</f>
        <v/>
      </c>
      <c r="J105" s="38">
        <f>IF($G105="","",SUMPRODUCT(MAX((Entries!$H$5:$H$104&lt;&gt;"")*ISNUMBER(SEARCH(Entries!$H$5:$H$104,$G105&amp;""))*(ROW(Entries!$H$5:$H$104)-4))))</f>
        <v/>
      </c>
    </row>
    <row r="106">
      <c r="A106" s="32" t="n">
        <v>97</v>
      </c>
      <c r="B106" s="33" t="n"/>
      <c r="C106" s="32">
        <f>IF(LEN($B106)&lt;14,"",TRIM(MID($B106,1,14)))</f>
        <v/>
      </c>
      <c r="D106" s="34">
        <f>IF(LEN($B106)&lt;22,"",DATE(VALUE(MID($B106,19,4)),VALUE(MID($B106,17,2)),VALUE(MID($B106,15,2))))</f>
        <v/>
      </c>
      <c r="E106" s="35">
        <f>IF(LEN($B106)&lt;45,"",VALUE(MID($B106,23,23)))</f>
        <v/>
      </c>
      <c r="F106" s="36">
        <f>IF(LEN($B106)&lt;46,"",MID($B106,46,1))</f>
        <v/>
      </c>
      <c r="G106" s="32">
        <f>IF(LEN($B106)&lt;116,"",TRIM(MID($B106,82,35)))</f>
        <v/>
      </c>
      <c r="H106" s="37">
        <f>IF($E106="","",$E106/IF(ttAmountUnit="Paise",1,100))</f>
        <v/>
      </c>
      <c r="I106" s="32">
        <f>IF($G106="","",IF($J106=0,"-- no match --",INDEX(Entries!$B$5:$B$104,$J106)))</f>
        <v/>
      </c>
      <c r="J106" s="38">
        <f>IF($G106="","",SUMPRODUCT(MAX((Entries!$H$5:$H$104&lt;&gt;"")*ISNUMBER(SEARCH(Entries!$H$5:$H$104,$G106&amp;""))*(ROW(Entries!$H$5:$H$104)-4))))</f>
        <v/>
      </c>
    </row>
    <row r="107">
      <c r="A107" s="32" t="n">
        <v>98</v>
      </c>
      <c r="B107" s="33" t="n"/>
      <c r="C107" s="32">
        <f>IF(LEN($B107)&lt;14,"",TRIM(MID($B107,1,14)))</f>
        <v/>
      </c>
      <c r="D107" s="34">
        <f>IF(LEN($B107)&lt;22,"",DATE(VALUE(MID($B107,19,4)),VALUE(MID($B107,17,2)),VALUE(MID($B107,15,2))))</f>
        <v/>
      </c>
      <c r="E107" s="35">
        <f>IF(LEN($B107)&lt;45,"",VALUE(MID($B107,23,23)))</f>
        <v/>
      </c>
      <c r="F107" s="36">
        <f>IF(LEN($B107)&lt;46,"",MID($B107,46,1))</f>
        <v/>
      </c>
      <c r="G107" s="32">
        <f>IF(LEN($B107)&lt;116,"",TRIM(MID($B107,82,35)))</f>
        <v/>
      </c>
      <c r="H107" s="37">
        <f>IF($E107="","",$E107/IF(ttAmountUnit="Paise",1,100))</f>
        <v/>
      </c>
      <c r="I107" s="32">
        <f>IF($G107="","",IF($J107=0,"-- no match --",INDEX(Entries!$B$5:$B$104,$J107)))</f>
        <v/>
      </c>
      <c r="J107" s="38">
        <f>IF($G107="","",SUMPRODUCT(MAX((Entries!$H$5:$H$104&lt;&gt;"")*ISNUMBER(SEARCH(Entries!$H$5:$H$104,$G107&amp;""))*(ROW(Entries!$H$5:$H$104)-4))))</f>
        <v/>
      </c>
    </row>
    <row r="108">
      <c r="A108" s="32" t="n">
        <v>99</v>
      </c>
      <c r="B108" s="33" t="n"/>
      <c r="C108" s="32">
        <f>IF(LEN($B108)&lt;14,"",TRIM(MID($B108,1,14)))</f>
        <v/>
      </c>
      <c r="D108" s="34">
        <f>IF(LEN($B108)&lt;22,"",DATE(VALUE(MID($B108,19,4)),VALUE(MID($B108,17,2)),VALUE(MID($B108,15,2))))</f>
        <v/>
      </c>
      <c r="E108" s="35">
        <f>IF(LEN($B108)&lt;45,"",VALUE(MID($B108,23,23)))</f>
        <v/>
      </c>
      <c r="F108" s="36">
        <f>IF(LEN($B108)&lt;46,"",MID($B108,46,1))</f>
        <v/>
      </c>
      <c r="G108" s="32">
        <f>IF(LEN($B108)&lt;116,"",TRIM(MID($B108,82,35)))</f>
        <v/>
      </c>
      <c r="H108" s="37">
        <f>IF($E108="","",$E108/IF(ttAmountUnit="Paise",1,100))</f>
        <v/>
      </c>
      <c r="I108" s="32">
        <f>IF($G108="","",IF($J108=0,"-- no match --",INDEX(Entries!$B$5:$B$104,$J108)))</f>
        <v/>
      </c>
      <c r="J108" s="38">
        <f>IF($G108="","",SUMPRODUCT(MAX((Entries!$H$5:$H$104&lt;&gt;"")*ISNUMBER(SEARCH(Entries!$H$5:$H$104,$G108&amp;""))*(ROW(Entries!$H$5:$H$104)-4))))</f>
        <v/>
      </c>
    </row>
    <row r="109">
      <c r="A109" s="32" t="n">
        <v>100</v>
      </c>
      <c r="B109" s="33" t="n"/>
      <c r="C109" s="32">
        <f>IF(LEN($B109)&lt;14,"",TRIM(MID($B109,1,14)))</f>
        <v/>
      </c>
      <c r="D109" s="34">
        <f>IF(LEN($B109)&lt;22,"",DATE(VALUE(MID($B109,19,4)),VALUE(MID($B109,17,2)),VALUE(MID($B109,15,2))))</f>
        <v/>
      </c>
      <c r="E109" s="35">
        <f>IF(LEN($B109)&lt;45,"",VALUE(MID($B109,23,23)))</f>
        <v/>
      </c>
      <c r="F109" s="36">
        <f>IF(LEN($B109)&lt;46,"",MID($B109,46,1))</f>
        <v/>
      </c>
      <c r="G109" s="32">
        <f>IF(LEN($B109)&lt;116,"",TRIM(MID($B109,82,35)))</f>
        <v/>
      </c>
      <c r="H109" s="37">
        <f>IF($E109="","",$E109/IF(ttAmountUnit="Paise",1,100))</f>
        <v/>
      </c>
      <c r="I109" s="32">
        <f>IF($G109="","",IF($J109=0,"-- no match --",INDEX(Entries!$B$5:$B$104,$J109)))</f>
        <v/>
      </c>
      <c r="J109" s="38">
        <f>IF($G109="","",SUMPRODUCT(MAX((Entries!$H$5:$H$104&lt;&gt;"")*ISNUMBER(SEARCH(Entries!$H$5:$H$104,$G109&amp;""))*(ROW(Entries!$H$5:$H$104)-4))))</f>
        <v/>
      </c>
    </row>
  </sheetData>
  <mergeCells count="6">
    <mergeCell ref="A2:I2"/>
    <mergeCell ref="B7:I7"/>
    <mergeCell ref="C3:I3"/>
    <mergeCell ref="C4:I4"/>
    <mergeCell ref="A1:I1"/>
    <mergeCell ref="C6:I6"/>
  </mergeCells>
  <pageMargins left="0.75" right="0.75" top="1" bottom="1" header="0.5" footer="0.5"/>
</worksheet>
</file>

<file path=xl/worksheets/sheet4.xml><?xml version="1.0" encoding="utf-8"?>
<worksheet xmlns="http://schemas.openxmlformats.org/spreadsheetml/2006/main">
  <sheetPr codeName="shTextOutput">
    <outlinePr summaryBelow="1" summaryRight="1"/>
    <pageSetUpPr/>
  </sheetPr>
  <dimension ref="A1:C108"/>
  <sheetViews>
    <sheetView showGridLines="0" workbookViewId="0">
      <pane ySplit="8" topLeftCell="A9" activePane="bottomLeft" state="frozen"/>
      <selection pane="bottomLeft" activeCell="A1" sqref="A1"/>
    </sheetView>
  </sheetViews>
  <sheetFormatPr baseColWidth="8" defaultRowHeight="15"/>
  <cols>
    <col width="118" customWidth="1" min="1" max="1"/>
    <col width="9" customWidth="1" min="2" max="2"/>
    <col width="7" customWidth="1" min="3" max="3"/>
  </cols>
  <sheetData>
    <row r="1" ht="30" customHeight="1">
      <c r="A1" s="1" t="inlineStr">
        <is>
          <t xml:space="preserve">   TEXT OUTPUT  (works without macros)</t>
        </is>
      </c>
      <c r="B1" s="2" t="n"/>
      <c r="C1" s="2" t="n"/>
    </row>
    <row r="2" ht="16" customHeight="1">
      <c r="A2" s="3" t="inlineStr">
        <is>
          <t xml:space="preserve">   The same records, built by formula. Copy them into Notepad and save.</t>
        </is>
      </c>
      <c r="B2" s="2" t="n"/>
      <c r="C2" s="2" t="n"/>
    </row>
    <row r="3">
      <c r="A3" s="39" t="inlineStr">
        <is>
          <t>1.  Set the value date and the amounts as usual, on the Dashboard and Entries sheets.</t>
        </is>
      </c>
    </row>
    <row r="4">
      <c r="A4" s="30" t="inlineStr">
        <is>
          <t>2.  Select the filled cells in column A below, from A6 down to the last one with text.</t>
        </is>
      </c>
    </row>
    <row r="5">
      <c r="A5" s="30" t="inlineStr">
        <is>
          <t>3.  Copy, then paste into Notepad.</t>
        </is>
      </c>
    </row>
    <row r="6">
      <c r="A6" s="30" t="inlineStr">
        <is>
          <t>4.  Save from Notepad as the file name shown on the Dashboard, with Encoding set to ANSI.</t>
        </is>
      </c>
    </row>
    <row r="8">
      <c r="A8" s="40" t="inlineStr">
        <is>
          <t>Record  (each line is exactly 186 characters)</t>
        </is>
      </c>
      <c r="B8" s="40" t="inlineStr">
        <is>
          <t>Length</t>
        </is>
      </c>
      <c r="C8" s="40" t="inlineStr">
        <is>
          <t>Row</t>
        </is>
      </c>
    </row>
    <row r="9">
      <c r="A9" s="41">
        <f>IF($C9="","",LEFT(INDEX(Entries!$C$5:$C$104,$C9)&amp;REPT(" ",14),14)&amp;TEXT(ttValueDate,"ddmmyyyy")&amp;TEXT(INDEX(Entries!$E$5:$E$104,$C9)*IF(ttAmountUnit="Paise",1,100),REPT("0",23))&amp;INDEX(Entries!$D$5:$D$104,$C9)&amp;"0"&amp;TEXT(ttValueDate,"ddmmyyyy")&amp;REPT(" ",26)&amp;LEFT(SUBSTITUTE(SUBSTITUTE(SUBSTITUTE(SUBSTITUTE(SUBSTITUTE(SUBSTITUTE(INDEX(Entries!$F$5:$F$104,$C9),"{DDMMYYYY}",TEXT(ttValueDate,"ddmmyyyy")),"{DDMMYY}",TEXT(ttValueDate,"ddmmyy")),"{YYYY}",TEXT(ttValueDate,"yyyy")),"{DD}",TEXT(ttValueDate,"dd")),"{MM}",TEXT(ttValueDate,"mm")),"{YY}",TEXT(ttValueDate,"yy"))&amp;REPT(" ",35),35)&amp;REPT(" ",70))</f>
        <v/>
      </c>
      <c r="B9" s="42">
        <f>IF($A9="","",LEN($A9))</f>
        <v/>
      </c>
      <c r="C9" s="43">
        <f>IFERROR(MATCH(1,Entries!$I$5:$I$104,0),"")</f>
        <v/>
      </c>
    </row>
    <row r="10">
      <c r="A10" s="41">
        <f>IF($C10="","",LEFT(INDEX(Entries!$C$5:$C$104,$C10)&amp;REPT(" ",14),14)&amp;TEXT(ttValueDate,"ddmmyyyy")&amp;TEXT(INDEX(Entries!$E$5:$E$104,$C10)*IF(ttAmountUnit="Paise",1,100),REPT("0",23))&amp;INDEX(Entries!$D$5:$D$104,$C10)&amp;"0"&amp;TEXT(ttValueDate,"ddmmyyyy")&amp;REPT(" ",26)&amp;LEFT(SUBSTITUTE(SUBSTITUTE(SUBSTITUTE(SUBSTITUTE(SUBSTITUTE(SUBSTITUTE(INDEX(Entries!$F$5:$F$104,$C10),"{DDMMYYYY}",TEXT(ttValueDate,"ddmmyyyy")),"{DDMMYY}",TEXT(ttValueDate,"ddmmyy")),"{YYYY}",TEXT(ttValueDate,"yyyy")),"{DD}",TEXT(ttValueDate,"dd")),"{MM}",TEXT(ttValueDate,"mm")),"{YY}",TEXT(ttValueDate,"yy"))&amp;REPT(" ",35),35)&amp;REPT(" ",70))</f>
        <v/>
      </c>
      <c r="B10" s="42">
        <f>IF($A10="","",LEN($A10))</f>
        <v/>
      </c>
      <c r="C10" s="43">
        <f>IFERROR(MATCH(2,Entries!$I$5:$I$104,0),"")</f>
        <v/>
      </c>
    </row>
    <row r="11">
      <c r="A11" s="41">
        <f>IF($C11="","",LEFT(INDEX(Entries!$C$5:$C$104,$C11)&amp;REPT(" ",14),14)&amp;TEXT(ttValueDate,"ddmmyyyy")&amp;TEXT(INDEX(Entries!$E$5:$E$104,$C11)*IF(ttAmountUnit="Paise",1,100),REPT("0",23))&amp;INDEX(Entries!$D$5:$D$104,$C11)&amp;"0"&amp;TEXT(ttValueDate,"ddmmyyyy")&amp;REPT(" ",26)&amp;LEFT(SUBSTITUTE(SUBSTITUTE(SUBSTITUTE(SUBSTITUTE(SUBSTITUTE(SUBSTITUTE(INDEX(Entries!$F$5:$F$104,$C11),"{DDMMYYYY}",TEXT(ttValueDate,"ddmmyyyy")),"{DDMMYY}",TEXT(ttValueDate,"ddmmyy")),"{YYYY}",TEXT(ttValueDate,"yyyy")),"{DD}",TEXT(ttValueDate,"dd")),"{MM}",TEXT(ttValueDate,"mm")),"{YY}",TEXT(ttValueDate,"yy"))&amp;REPT(" ",35),35)&amp;REPT(" ",70))</f>
        <v/>
      </c>
      <c r="B11" s="42">
        <f>IF($A11="","",LEN($A11))</f>
        <v/>
      </c>
      <c r="C11" s="43">
        <f>IFERROR(MATCH(3,Entries!$I$5:$I$104,0),"")</f>
        <v/>
      </c>
    </row>
    <row r="12">
      <c r="A12" s="41">
        <f>IF($C12="","",LEFT(INDEX(Entries!$C$5:$C$104,$C12)&amp;REPT(" ",14),14)&amp;TEXT(ttValueDate,"ddmmyyyy")&amp;TEXT(INDEX(Entries!$E$5:$E$104,$C12)*IF(ttAmountUnit="Paise",1,100),REPT("0",23))&amp;INDEX(Entries!$D$5:$D$104,$C12)&amp;"0"&amp;TEXT(ttValueDate,"ddmmyyyy")&amp;REPT(" ",26)&amp;LEFT(SUBSTITUTE(SUBSTITUTE(SUBSTITUTE(SUBSTITUTE(SUBSTITUTE(SUBSTITUTE(INDEX(Entries!$F$5:$F$104,$C12),"{DDMMYYYY}",TEXT(ttValueDate,"ddmmyyyy")),"{DDMMYY}",TEXT(ttValueDate,"ddmmyy")),"{YYYY}",TEXT(ttValueDate,"yyyy")),"{DD}",TEXT(ttValueDate,"dd")),"{MM}",TEXT(ttValueDate,"mm")),"{YY}",TEXT(ttValueDate,"yy"))&amp;REPT(" ",35),35)&amp;REPT(" ",70))</f>
        <v/>
      </c>
      <c r="B12" s="42">
        <f>IF($A12="","",LEN($A12))</f>
        <v/>
      </c>
      <c r="C12" s="43">
        <f>IFERROR(MATCH(4,Entries!$I$5:$I$104,0),"")</f>
        <v/>
      </c>
    </row>
    <row r="13">
      <c r="A13" s="41">
        <f>IF($C13="","",LEFT(INDEX(Entries!$C$5:$C$104,$C13)&amp;REPT(" ",14),14)&amp;TEXT(ttValueDate,"ddmmyyyy")&amp;TEXT(INDEX(Entries!$E$5:$E$104,$C13)*IF(ttAmountUnit="Paise",1,100),REPT("0",23))&amp;INDEX(Entries!$D$5:$D$104,$C13)&amp;"0"&amp;TEXT(ttValueDate,"ddmmyyyy")&amp;REPT(" ",26)&amp;LEFT(SUBSTITUTE(SUBSTITUTE(SUBSTITUTE(SUBSTITUTE(SUBSTITUTE(SUBSTITUTE(INDEX(Entries!$F$5:$F$104,$C13),"{DDMMYYYY}",TEXT(ttValueDate,"ddmmyyyy")),"{DDMMYY}",TEXT(ttValueDate,"ddmmyy")),"{YYYY}",TEXT(ttValueDate,"yyyy")),"{DD}",TEXT(ttValueDate,"dd")),"{MM}",TEXT(ttValueDate,"mm")),"{YY}",TEXT(ttValueDate,"yy"))&amp;REPT(" ",35),35)&amp;REPT(" ",70))</f>
        <v/>
      </c>
      <c r="B13" s="42">
        <f>IF($A13="","",LEN($A13))</f>
        <v/>
      </c>
      <c r="C13" s="43">
        <f>IFERROR(MATCH(5,Entries!$I$5:$I$104,0),"")</f>
        <v/>
      </c>
    </row>
    <row r="14">
      <c r="A14" s="41">
        <f>IF($C14="","",LEFT(INDEX(Entries!$C$5:$C$104,$C14)&amp;REPT(" ",14),14)&amp;TEXT(ttValueDate,"ddmmyyyy")&amp;TEXT(INDEX(Entries!$E$5:$E$104,$C14)*IF(ttAmountUnit="Paise",1,100),REPT("0",23))&amp;INDEX(Entries!$D$5:$D$104,$C14)&amp;"0"&amp;TEXT(ttValueDate,"ddmmyyyy")&amp;REPT(" ",26)&amp;LEFT(SUBSTITUTE(SUBSTITUTE(SUBSTITUTE(SUBSTITUTE(SUBSTITUTE(SUBSTITUTE(INDEX(Entries!$F$5:$F$104,$C14),"{DDMMYYYY}",TEXT(ttValueDate,"ddmmyyyy")),"{DDMMYY}",TEXT(ttValueDate,"ddmmyy")),"{YYYY}",TEXT(ttValueDate,"yyyy")),"{DD}",TEXT(ttValueDate,"dd")),"{MM}",TEXT(ttValueDate,"mm")),"{YY}",TEXT(ttValueDate,"yy"))&amp;REPT(" ",35),35)&amp;REPT(" ",70))</f>
        <v/>
      </c>
      <c r="B14" s="42">
        <f>IF($A14="","",LEN($A14))</f>
        <v/>
      </c>
      <c r="C14" s="43">
        <f>IFERROR(MATCH(6,Entries!$I$5:$I$104,0),"")</f>
        <v/>
      </c>
    </row>
    <row r="15">
      <c r="A15" s="41">
        <f>IF($C15="","",LEFT(INDEX(Entries!$C$5:$C$104,$C15)&amp;REPT(" ",14),14)&amp;TEXT(ttValueDate,"ddmmyyyy")&amp;TEXT(INDEX(Entries!$E$5:$E$104,$C15)*IF(ttAmountUnit="Paise",1,100),REPT("0",23))&amp;INDEX(Entries!$D$5:$D$104,$C15)&amp;"0"&amp;TEXT(ttValueDate,"ddmmyyyy")&amp;REPT(" ",26)&amp;LEFT(SUBSTITUTE(SUBSTITUTE(SUBSTITUTE(SUBSTITUTE(SUBSTITUTE(SUBSTITUTE(INDEX(Entries!$F$5:$F$104,$C15),"{DDMMYYYY}",TEXT(ttValueDate,"ddmmyyyy")),"{DDMMYY}",TEXT(ttValueDate,"ddmmyy")),"{YYYY}",TEXT(ttValueDate,"yyyy")),"{DD}",TEXT(ttValueDate,"dd")),"{MM}",TEXT(ttValueDate,"mm")),"{YY}",TEXT(ttValueDate,"yy"))&amp;REPT(" ",35),35)&amp;REPT(" ",70))</f>
        <v/>
      </c>
      <c r="B15" s="42">
        <f>IF($A15="","",LEN($A15))</f>
        <v/>
      </c>
      <c r="C15" s="43">
        <f>IFERROR(MATCH(7,Entries!$I$5:$I$104,0),"")</f>
        <v/>
      </c>
    </row>
    <row r="16">
      <c r="A16" s="41">
        <f>IF($C16="","",LEFT(INDEX(Entries!$C$5:$C$104,$C16)&amp;REPT(" ",14),14)&amp;TEXT(ttValueDate,"ddmmyyyy")&amp;TEXT(INDEX(Entries!$E$5:$E$104,$C16)*IF(ttAmountUnit="Paise",1,100),REPT("0",23))&amp;INDEX(Entries!$D$5:$D$104,$C16)&amp;"0"&amp;TEXT(ttValueDate,"ddmmyyyy")&amp;REPT(" ",26)&amp;LEFT(SUBSTITUTE(SUBSTITUTE(SUBSTITUTE(SUBSTITUTE(SUBSTITUTE(SUBSTITUTE(INDEX(Entries!$F$5:$F$104,$C16),"{DDMMYYYY}",TEXT(ttValueDate,"ddmmyyyy")),"{DDMMYY}",TEXT(ttValueDate,"ddmmyy")),"{YYYY}",TEXT(ttValueDate,"yyyy")),"{DD}",TEXT(ttValueDate,"dd")),"{MM}",TEXT(ttValueDate,"mm")),"{YY}",TEXT(ttValueDate,"yy"))&amp;REPT(" ",35),35)&amp;REPT(" ",70))</f>
        <v/>
      </c>
      <c r="B16" s="42">
        <f>IF($A16="","",LEN($A16))</f>
        <v/>
      </c>
      <c r="C16" s="43">
        <f>IFERROR(MATCH(8,Entries!$I$5:$I$104,0),"")</f>
        <v/>
      </c>
    </row>
    <row r="17">
      <c r="A17" s="41">
        <f>IF($C17="","",LEFT(INDEX(Entries!$C$5:$C$104,$C17)&amp;REPT(" ",14),14)&amp;TEXT(ttValueDate,"ddmmyyyy")&amp;TEXT(INDEX(Entries!$E$5:$E$104,$C17)*IF(ttAmountUnit="Paise",1,100),REPT("0",23))&amp;INDEX(Entries!$D$5:$D$104,$C17)&amp;"0"&amp;TEXT(ttValueDate,"ddmmyyyy")&amp;REPT(" ",26)&amp;LEFT(SUBSTITUTE(SUBSTITUTE(SUBSTITUTE(SUBSTITUTE(SUBSTITUTE(SUBSTITUTE(INDEX(Entries!$F$5:$F$104,$C17),"{DDMMYYYY}",TEXT(ttValueDate,"ddmmyyyy")),"{DDMMYY}",TEXT(ttValueDate,"ddmmyy")),"{YYYY}",TEXT(ttValueDate,"yyyy")),"{DD}",TEXT(ttValueDate,"dd")),"{MM}",TEXT(ttValueDate,"mm")),"{YY}",TEXT(ttValueDate,"yy"))&amp;REPT(" ",35),35)&amp;REPT(" ",70))</f>
        <v/>
      </c>
      <c r="B17" s="42">
        <f>IF($A17="","",LEN($A17))</f>
        <v/>
      </c>
      <c r="C17" s="43">
        <f>IFERROR(MATCH(9,Entries!$I$5:$I$104,0),"")</f>
        <v/>
      </c>
    </row>
    <row r="18">
      <c r="A18" s="41">
        <f>IF($C18="","",LEFT(INDEX(Entries!$C$5:$C$104,$C18)&amp;REPT(" ",14),14)&amp;TEXT(ttValueDate,"ddmmyyyy")&amp;TEXT(INDEX(Entries!$E$5:$E$104,$C18)*IF(ttAmountUnit="Paise",1,100),REPT("0",23))&amp;INDEX(Entries!$D$5:$D$104,$C18)&amp;"0"&amp;TEXT(ttValueDate,"ddmmyyyy")&amp;REPT(" ",26)&amp;LEFT(SUBSTITUTE(SUBSTITUTE(SUBSTITUTE(SUBSTITUTE(SUBSTITUTE(SUBSTITUTE(INDEX(Entries!$F$5:$F$104,$C18),"{DDMMYYYY}",TEXT(ttValueDate,"ddmmyyyy")),"{DDMMYY}",TEXT(ttValueDate,"ddmmyy")),"{YYYY}",TEXT(ttValueDate,"yyyy")),"{DD}",TEXT(ttValueDate,"dd")),"{MM}",TEXT(ttValueDate,"mm")),"{YY}",TEXT(ttValueDate,"yy"))&amp;REPT(" ",35),35)&amp;REPT(" ",70))</f>
        <v/>
      </c>
      <c r="B18" s="42">
        <f>IF($A18="","",LEN($A18))</f>
        <v/>
      </c>
      <c r="C18" s="43">
        <f>IFERROR(MATCH(10,Entries!$I$5:$I$104,0),"")</f>
        <v/>
      </c>
    </row>
    <row r="19">
      <c r="A19" s="41">
        <f>IF($C19="","",LEFT(INDEX(Entries!$C$5:$C$104,$C19)&amp;REPT(" ",14),14)&amp;TEXT(ttValueDate,"ddmmyyyy")&amp;TEXT(INDEX(Entries!$E$5:$E$104,$C19)*IF(ttAmountUnit="Paise",1,100),REPT("0",23))&amp;INDEX(Entries!$D$5:$D$104,$C19)&amp;"0"&amp;TEXT(ttValueDate,"ddmmyyyy")&amp;REPT(" ",26)&amp;LEFT(SUBSTITUTE(SUBSTITUTE(SUBSTITUTE(SUBSTITUTE(SUBSTITUTE(SUBSTITUTE(INDEX(Entries!$F$5:$F$104,$C19),"{DDMMYYYY}",TEXT(ttValueDate,"ddmmyyyy")),"{DDMMYY}",TEXT(ttValueDate,"ddmmyy")),"{YYYY}",TEXT(ttValueDate,"yyyy")),"{DD}",TEXT(ttValueDate,"dd")),"{MM}",TEXT(ttValueDate,"mm")),"{YY}",TEXT(ttValueDate,"yy"))&amp;REPT(" ",35),35)&amp;REPT(" ",70))</f>
        <v/>
      </c>
      <c r="B19" s="42">
        <f>IF($A19="","",LEN($A19))</f>
        <v/>
      </c>
      <c r="C19" s="43">
        <f>IFERROR(MATCH(11,Entries!$I$5:$I$104,0),"")</f>
        <v/>
      </c>
    </row>
    <row r="20">
      <c r="A20" s="41">
        <f>IF($C20="","",LEFT(INDEX(Entries!$C$5:$C$104,$C20)&amp;REPT(" ",14),14)&amp;TEXT(ttValueDate,"ddmmyyyy")&amp;TEXT(INDEX(Entries!$E$5:$E$104,$C20)*IF(ttAmountUnit="Paise",1,100),REPT("0",23))&amp;INDEX(Entries!$D$5:$D$104,$C20)&amp;"0"&amp;TEXT(ttValueDate,"ddmmyyyy")&amp;REPT(" ",26)&amp;LEFT(SUBSTITUTE(SUBSTITUTE(SUBSTITUTE(SUBSTITUTE(SUBSTITUTE(SUBSTITUTE(INDEX(Entries!$F$5:$F$104,$C20),"{DDMMYYYY}",TEXT(ttValueDate,"ddmmyyyy")),"{DDMMYY}",TEXT(ttValueDate,"ddmmyy")),"{YYYY}",TEXT(ttValueDate,"yyyy")),"{DD}",TEXT(ttValueDate,"dd")),"{MM}",TEXT(ttValueDate,"mm")),"{YY}",TEXT(ttValueDate,"yy"))&amp;REPT(" ",35),35)&amp;REPT(" ",70))</f>
        <v/>
      </c>
      <c r="B20" s="42">
        <f>IF($A20="","",LEN($A20))</f>
        <v/>
      </c>
      <c r="C20" s="43">
        <f>IFERROR(MATCH(12,Entries!$I$5:$I$104,0),"")</f>
        <v/>
      </c>
    </row>
    <row r="21">
      <c r="A21" s="41">
        <f>IF($C21="","",LEFT(INDEX(Entries!$C$5:$C$104,$C21)&amp;REPT(" ",14),14)&amp;TEXT(ttValueDate,"ddmmyyyy")&amp;TEXT(INDEX(Entries!$E$5:$E$104,$C21)*IF(ttAmountUnit="Paise",1,100),REPT("0",23))&amp;INDEX(Entries!$D$5:$D$104,$C21)&amp;"0"&amp;TEXT(ttValueDate,"ddmmyyyy")&amp;REPT(" ",26)&amp;LEFT(SUBSTITUTE(SUBSTITUTE(SUBSTITUTE(SUBSTITUTE(SUBSTITUTE(SUBSTITUTE(INDEX(Entries!$F$5:$F$104,$C21),"{DDMMYYYY}",TEXT(ttValueDate,"ddmmyyyy")),"{DDMMYY}",TEXT(ttValueDate,"ddmmyy")),"{YYYY}",TEXT(ttValueDate,"yyyy")),"{DD}",TEXT(ttValueDate,"dd")),"{MM}",TEXT(ttValueDate,"mm")),"{YY}",TEXT(ttValueDate,"yy"))&amp;REPT(" ",35),35)&amp;REPT(" ",70))</f>
        <v/>
      </c>
      <c r="B21" s="42">
        <f>IF($A21="","",LEN($A21))</f>
        <v/>
      </c>
      <c r="C21" s="43">
        <f>IFERROR(MATCH(13,Entries!$I$5:$I$104,0),"")</f>
        <v/>
      </c>
    </row>
    <row r="22">
      <c r="A22" s="41">
        <f>IF($C22="","",LEFT(INDEX(Entries!$C$5:$C$104,$C22)&amp;REPT(" ",14),14)&amp;TEXT(ttValueDate,"ddmmyyyy")&amp;TEXT(INDEX(Entries!$E$5:$E$104,$C22)*IF(ttAmountUnit="Paise",1,100),REPT("0",23))&amp;INDEX(Entries!$D$5:$D$104,$C22)&amp;"0"&amp;TEXT(ttValueDate,"ddmmyyyy")&amp;REPT(" ",26)&amp;LEFT(SUBSTITUTE(SUBSTITUTE(SUBSTITUTE(SUBSTITUTE(SUBSTITUTE(SUBSTITUTE(INDEX(Entries!$F$5:$F$104,$C22),"{DDMMYYYY}",TEXT(ttValueDate,"ddmmyyyy")),"{DDMMYY}",TEXT(ttValueDate,"ddmmyy")),"{YYYY}",TEXT(ttValueDate,"yyyy")),"{DD}",TEXT(ttValueDate,"dd")),"{MM}",TEXT(ttValueDate,"mm")),"{YY}",TEXT(ttValueDate,"yy"))&amp;REPT(" ",35),35)&amp;REPT(" ",70))</f>
        <v/>
      </c>
      <c r="B22" s="42">
        <f>IF($A22="","",LEN($A22))</f>
        <v/>
      </c>
      <c r="C22" s="43">
        <f>IFERROR(MATCH(14,Entries!$I$5:$I$104,0),"")</f>
        <v/>
      </c>
    </row>
    <row r="23">
      <c r="A23" s="41">
        <f>IF($C23="","",LEFT(INDEX(Entries!$C$5:$C$104,$C23)&amp;REPT(" ",14),14)&amp;TEXT(ttValueDate,"ddmmyyyy")&amp;TEXT(INDEX(Entries!$E$5:$E$104,$C23)*IF(ttAmountUnit="Paise",1,100),REPT("0",23))&amp;INDEX(Entries!$D$5:$D$104,$C23)&amp;"0"&amp;TEXT(ttValueDate,"ddmmyyyy")&amp;REPT(" ",26)&amp;LEFT(SUBSTITUTE(SUBSTITUTE(SUBSTITUTE(SUBSTITUTE(SUBSTITUTE(SUBSTITUTE(INDEX(Entries!$F$5:$F$104,$C23),"{DDMMYYYY}",TEXT(ttValueDate,"ddmmyyyy")),"{DDMMYY}",TEXT(ttValueDate,"ddmmyy")),"{YYYY}",TEXT(ttValueDate,"yyyy")),"{DD}",TEXT(ttValueDate,"dd")),"{MM}",TEXT(ttValueDate,"mm")),"{YY}",TEXT(ttValueDate,"yy"))&amp;REPT(" ",35),35)&amp;REPT(" ",70))</f>
        <v/>
      </c>
      <c r="B23" s="42">
        <f>IF($A23="","",LEN($A23))</f>
        <v/>
      </c>
      <c r="C23" s="43">
        <f>IFERROR(MATCH(15,Entries!$I$5:$I$104,0),"")</f>
        <v/>
      </c>
    </row>
    <row r="24">
      <c r="A24" s="41">
        <f>IF($C24="","",LEFT(INDEX(Entries!$C$5:$C$104,$C24)&amp;REPT(" ",14),14)&amp;TEXT(ttValueDate,"ddmmyyyy")&amp;TEXT(INDEX(Entries!$E$5:$E$104,$C24)*IF(ttAmountUnit="Paise",1,100),REPT("0",23))&amp;INDEX(Entries!$D$5:$D$104,$C24)&amp;"0"&amp;TEXT(ttValueDate,"ddmmyyyy")&amp;REPT(" ",26)&amp;LEFT(SUBSTITUTE(SUBSTITUTE(SUBSTITUTE(SUBSTITUTE(SUBSTITUTE(SUBSTITUTE(INDEX(Entries!$F$5:$F$104,$C24),"{DDMMYYYY}",TEXT(ttValueDate,"ddmmyyyy")),"{DDMMYY}",TEXT(ttValueDate,"ddmmyy")),"{YYYY}",TEXT(ttValueDate,"yyyy")),"{DD}",TEXT(ttValueDate,"dd")),"{MM}",TEXT(ttValueDate,"mm")),"{YY}",TEXT(ttValueDate,"yy"))&amp;REPT(" ",35),35)&amp;REPT(" ",70))</f>
        <v/>
      </c>
      <c r="B24" s="42">
        <f>IF($A24="","",LEN($A24))</f>
        <v/>
      </c>
      <c r="C24" s="43">
        <f>IFERROR(MATCH(16,Entries!$I$5:$I$104,0),"")</f>
        <v/>
      </c>
    </row>
    <row r="25">
      <c r="A25" s="41">
        <f>IF($C25="","",LEFT(INDEX(Entries!$C$5:$C$104,$C25)&amp;REPT(" ",14),14)&amp;TEXT(ttValueDate,"ddmmyyyy")&amp;TEXT(INDEX(Entries!$E$5:$E$104,$C25)*IF(ttAmountUnit="Paise",1,100),REPT("0",23))&amp;INDEX(Entries!$D$5:$D$104,$C25)&amp;"0"&amp;TEXT(ttValueDate,"ddmmyyyy")&amp;REPT(" ",26)&amp;LEFT(SUBSTITUTE(SUBSTITUTE(SUBSTITUTE(SUBSTITUTE(SUBSTITUTE(SUBSTITUTE(INDEX(Entries!$F$5:$F$104,$C25),"{DDMMYYYY}",TEXT(ttValueDate,"ddmmyyyy")),"{DDMMYY}",TEXT(ttValueDate,"ddmmyy")),"{YYYY}",TEXT(ttValueDate,"yyyy")),"{DD}",TEXT(ttValueDate,"dd")),"{MM}",TEXT(ttValueDate,"mm")),"{YY}",TEXT(ttValueDate,"yy"))&amp;REPT(" ",35),35)&amp;REPT(" ",70))</f>
        <v/>
      </c>
      <c r="B25" s="42">
        <f>IF($A25="","",LEN($A25))</f>
        <v/>
      </c>
      <c r="C25" s="43">
        <f>IFERROR(MATCH(17,Entries!$I$5:$I$104,0),"")</f>
        <v/>
      </c>
    </row>
    <row r="26">
      <c r="A26" s="41">
        <f>IF($C26="","",LEFT(INDEX(Entries!$C$5:$C$104,$C26)&amp;REPT(" ",14),14)&amp;TEXT(ttValueDate,"ddmmyyyy")&amp;TEXT(INDEX(Entries!$E$5:$E$104,$C26)*IF(ttAmountUnit="Paise",1,100),REPT("0",23))&amp;INDEX(Entries!$D$5:$D$104,$C26)&amp;"0"&amp;TEXT(ttValueDate,"ddmmyyyy")&amp;REPT(" ",26)&amp;LEFT(SUBSTITUTE(SUBSTITUTE(SUBSTITUTE(SUBSTITUTE(SUBSTITUTE(SUBSTITUTE(INDEX(Entries!$F$5:$F$104,$C26),"{DDMMYYYY}",TEXT(ttValueDate,"ddmmyyyy")),"{DDMMYY}",TEXT(ttValueDate,"ddmmyy")),"{YYYY}",TEXT(ttValueDate,"yyyy")),"{DD}",TEXT(ttValueDate,"dd")),"{MM}",TEXT(ttValueDate,"mm")),"{YY}",TEXT(ttValueDate,"yy"))&amp;REPT(" ",35),35)&amp;REPT(" ",70))</f>
        <v/>
      </c>
      <c r="B26" s="42">
        <f>IF($A26="","",LEN($A26))</f>
        <v/>
      </c>
      <c r="C26" s="43">
        <f>IFERROR(MATCH(18,Entries!$I$5:$I$104,0),"")</f>
        <v/>
      </c>
    </row>
    <row r="27">
      <c r="A27" s="41">
        <f>IF($C27="","",LEFT(INDEX(Entries!$C$5:$C$104,$C27)&amp;REPT(" ",14),14)&amp;TEXT(ttValueDate,"ddmmyyyy")&amp;TEXT(INDEX(Entries!$E$5:$E$104,$C27)*IF(ttAmountUnit="Paise",1,100),REPT("0",23))&amp;INDEX(Entries!$D$5:$D$104,$C27)&amp;"0"&amp;TEXT(ttValueDate,"ddmmyyyy")&amp;REPT(" ",26)&amp;LEFT(SUBSTITUTE(SUBSTITUTE(SUBSTITUTE(SUBSTITUTE(SUBSTITUTE(SUBSTITUTE(INDEX(Entries!$F$5:$F$104,$C27),"{DDMMYYYY}",TEXT(ttValueDate,"ddmmyyyy")),"{DDMMYY}",TEXT(ttValueDate,"ddmmyy")),"{YYYY}",TEXT(ttValueDate,"yyyy")),"{DD}",TEXT(ttValueDate,"dd")),"{MM}",TEXT(ttValueDate,"mm")),"{YY}",TEXT(ttValueDate,"yy"))&amp;REPT(" ",35),35)&amp;REPT(" ",70))</f>
        <v/>
      </c>
      <c r="B27" s="42">
        <f>IF($A27="","",LEN($A27))</f>
        <v/>
      </c>
      <c r="C27" s="43">
        <f>IFERROR(MATCH(19,Entries!$I$5:$I$104,0),"")</f>
        <v/>
      </c>
    </row>
    <row r="28">
      <c r="A28" s="41">
        <f>IF($C28="","",LEFT(INDEX(Entries!$C$5:$C$104,$C28)&amp;REPT(" ",14),14)&amp;TEXT(ttValueDate,"ddmmyyyy")&amp;TEXT(INDEX(Entries!$E$5:$E$104,$C28)*IF(ttAmountUnit="Paise",1,100),REPT("0",23))&amp;INDEX(Entries!$D$5:$D$104,$C28)&amp;"0"&amp;TEXT(ttValueDate,"ddmmyyyy")&amp;REPT(" ",26)&amp;LEFT(SUBSTITUTE(SUBSTITUTE(SUBSTITUTE(SUBSTITUTE(SUBSTITUTE(SUBSTITUTE(INDEX(Entries!$F$5:$F$104,$C28),"{DDMMYYYY}",TEXT(ttValueDate,"ddmmyyyy")),"{DDMMYY}",TEXT(ttValueDate,"ddmmyy")),"{YYYY}",TEXT(ttValueDate,"yyyy")),"{DD}",TEXT(ttValueDate,"dd")),"{MM}",TEXT(ttValueDate,"mm")),"{YY}",TEXT(ttValueDate,"yy"))&amp;REPT(" ",35),35)&amp;REPT(" ",70))</f>
        <v/>
      </c>
      <c r="B28" s="42">
        <f>IF($A28="","",LEN($A28))</f>
        <v/>
      </c>
      <c r="C28" s="43">
        <f>IFERROR(MATCH(20,Entries!$I$5:$I$104,0),"")</f>
        <v/>
      </c>
    </row>
    <row r="29">
      <c r="A29" s="41">
        <f>IF($C29="","",LEFT(INDEX(Entries!$C$5:$C$104,$C29)&amp;REPT(" ",14),14)&amp;TEXT(ttValueDate,"ddmmyyyy")&amp;TEXT(INDEX(Entries!$E$5:$E$104,$C29)*IF(ttAmountUnit="Paise",1,100),REPT("0",23))&amp;INDEX(Entries!$D$5:$D$104,$C29)&amp;"0"&amp;TEXT(ttValueDate,"ddmmyyyy")&amp;REPT(" ",26)&amp;LEFT(SUBSTITUTE(SUBSTITUTE(SUBSTITUTE(SUBSTITUTE(SUBSTITUTE(SUBSTITUTE(INDEX(Entries!$F$5:$F$104,$C29),"{DDMMYYYY}",TEXT(ttValueDate,"ddmmyyyy")),"{DDMMYY}",TEXT(ttValueDate,"ddmmyy")),"{YYYY}",TEXT(ttValueDate,"yyyy")),"{DD}",TEXT(ttValueDate,"dd")),"{MM}",TEXT(ttValueDate,"mm")),"{YY}",TEXT(ttValueDate,"yy"))&amp;REPT(" ",35),35)&amp;REPT(" ",70))</f>
        <v/>
      </c>
      <c r="B29" s="42">
        <f>IF($A29="","",LEN($A29))</f>
        <v/>
      </c>
      <c r="C29" s="43">
        <f>IFERROR(MATCH(21,Entries!$I$5:$I$104,0),"")</f>
        <v/>
      </c>
    </row>
    <row r="30">
      <c r="A30" s="41">
        <f>IF($C30="","",LEFT(INDEX(Entries!$C$5:$C$104,$C30)&amp;REPT(" ",14),14)&amp;TEXT(ttValueDate,"ddmmyyyy")&amp;TEXT(INDEX(Entries!$E$5:$E$104,$C30)*IF(ttAmountUnit="Paise",1,100),REPT("0",23))&amp;INDEX(Entries!$D$5:$D$104,$C30)&amp;"0"&amp;TEXT(ttValueDate,"ddmmyyyy")&amp;REPT(" ",26)&amp;LEFT(SUBSTITUTE(SUBSTITUTE(SUBSTITUTE(SUBSTITUTE(SUBSTITUTE(SUBSTITUTE(INDEX(Entries!$F$5:$F$104,$C30),"{DDMMYYYY}",TEXT(ttValueDate,"ddmmyyyy")),"{DDMMYY}",TEXT(ttValueDate,"ddmmyy")),"{YYYY}",TEXT(ttValueDate,"yyyy")),"{DD}",TEXT(ttValueDate,"dd")),"{MM}",TEXT(ttValueDate,"mm")),"{YY}",TEXT(ttValueDate,"yy"))&amp;REPT(" ",35),35)&amp;REPT(" ",70))</f>
        <v/>
      </c>
      <c r="B30" s="42">
        <f>IF($A30="","",LEN($A30))</f>
        <v/>
      </c>
      <c r="C30" s="43">
        <f>IFERROR(MATCH(22,Entries!$I$5:$I$104,0),"")</f>
        <v/>
      </c>
    </row>
    <row r="31">
      <c r="A31" s="41">
        <f>IF($C31="","",LEFT(INDEX(Entries!$C$5:$C$104,$C31)&amp;REPT(" ",14),14)&amp;TEXT(ttValueDate,"ddmmyyyy")&amp;TEXT(INDEX(Entries!$E$5:$E$104,$C31)*IF(ttAmountUnit="Paise",1,100),REPT("0",23))&amp;INDEX(Entries!$D$5:$D$104,$C31)&amp;"0"&amp;TEXT(ttValueDate,"ddmmyyyy")&amp;REPT(" ",26)&amp;LEFT(SUBSTITUTE(SUBSTITUTE(SUBSTITUTE(SUBSTITUTE(SUBSTITUTE(SUBSTITUTE(INDEX(Entries!$F$5:$F$104,$C31),"{DDMMYYYY}",TEXT(ttValueDate,"ddmmyyyy")),"{DDMMYY}",TEXT(ttValueDate,"ddmmyy")),"{YYYY}",TEXT(ttValueDate,"yyyy")),"{DD}",TEXT(ttValueDate,"dd")),"{MM}",TEXT(ttValueDate,"mm")),"{YY}",TEXT(ttValueDate,"yy"))&amp;REPT(" ",35),35)&amp;REPT(" ",70))</f>
        <v/>
      </c>
      <c r="B31" s="42">
        <f>IF($A31="","",LEN($A31))</f>
        <v/>
      </c>
      <c r="C31" s="43">
        <f>IFERROR(MATCH(23,Entries!$I$5:$I$104,0),"")</f>
        <v/>
      </c>
    </row>
    <row r="32">
      <c r="A32" s="41">
        <f>IF($C32="","",LEFT(INDEX(Entries!$C$5:$C$104,$C32)&amp;REPT(" ",14),14)&amp;TEXT(ttValueDate,"ddmmyyyy")&amp;TEXT(INDEX(Entries!$E$5:$E$104,$C32)*IF(ttAmountUnit="Paise",1,100),REPT("0",23))&amp;INDEX(Entries!$D$5:$D$104,$C32)&amp;"0"&amp;TEXT(ttValueDate,"ddmmyyyy")&amp;REPT(" ",26)&amp;LEFT(SUBSTITUTE(SUBSTITUTE(SUBSTITUTE(SUBSTITUTE(SUBSTITUTE(SUBSTITUTE(INDEX(Entries!$F$5:$F$104,$C32),"{DDMMYYYY}",TEXT(ttValueDate,"ddmmyyyy")),"{DDMMYY}",TEXT(ttValueDate,"ddmmyy")),"{YYYY}",TEXT(ttValueDate,"yyyy")),"{DD}",TEXT(ttValueDate,"dd")),"{MM}",TEXT(ttValueDate,"mm")),"{YY}",TEXT(ttValueDate,"yy"))&amp;REPT(" ",35),35)&amp;REPT(" ",70))</f>
        <v/>
      </c>
      <c r="B32" s="42">
        <f>IF($A32="","",LEN($A32))</f>
        <v/>
      </c>
      <c r="C32" s="43">
        <f>IFERROR(MATCH(24,Entries!$I$5:$I$104,0),"")</f>
        <v/>
      </c>
    </row>
    <row r="33">
      <c r="A33" s="41">
        <f>IF($C33="","",LEFT(INDEX(Entries!$C$5:$C$104,$C33)&amp;REPT(" ",14),14)&amp;TEXT(ttValueDate,"ddmmyyyy")&amp;TEXT(INDEX(Entries!$E$5:$E$104,$C33)*IF(ttAmountUnit="Paise",1,100),REPT("0",23))&amp;INDEX(Entries!$D$5:$D$104,$C33)&amp;"0"&amp;TEXT(ttValueDate,"ddmmyyyy")&amp;REPT(" ",26)&amp;LEFT(SUBSTITUTE(SUBSTITUTE(SUBSTITUTE(SUBSTITUTE(SUBSTITUTE(SUBSTITUTE(INDEX(Entries!$F$5:$F$104,$C33),"{DDMMYYYY}",TEXT(ttValueDate,"ddmmyyyy")),"{DDMMYY}",TEXT(ttValueDate,"ddmmyy")),"{YYYY}",TEXT(ttValueDate,"yyyy")),"{DD}",TEXT(ttValueDate,"dd")),"{MM}",TEXT(ttValueDate,"mm")),"{YY}",TEXT(ttValueDate,"yy"))&amp;REPT(" ",35),35)&amp;REPT(" ",70))</f>
        <v/>
      </c>
      <c r="B33" s="42">
        <f>IF($A33="","",LEN($A33))</f>
        <v/>
      </c>
      <c r="C33" s="43">
        <f>IFERROR(MATCH(25,Entries!$I$5:$I$104,0),"")</f>
        <v/>
      </c>
    </row>
    <row r="34">
      <c r="A34" s="41">
        <f>IF($C34="","",LEFT(INDEX(Entries!$C$5:$C$104,$C34)&amp;REPT(" ",14),14)&amp;TEXT(ttValueDate,"ddmmyyyy")&amp;TEXT(INDEX(Entries!$E$5:$E$104,$C34)*IF(ttAmountUnit="Paise",1,100),REPT("0",23))&amp;INDEX(Entries!$D$5:$D$104,$C34)&amp;"0"&amp;TEXT(ttValueDate,"ddmmyyyy")&amp;REPT(" ",26)&amp;LEFT(SUBSTITUTE(SUBSTITUTE(SUBSTITUTE(SUBSTITUTE(SUBSTITUTE(SUBSTITUTE(INDEX(Entries!$F$5:$F$104,$C34),"{DDMMYYYY}",TEXT(ttValueDate,"ddmmyyyy")),"{DDMMYY}",TEXT(ttValueDate,"ddmmyy")),"{YYYY}",TEXT(ttValueDate,"yyyy")),"{DD}",TEXT(ttValueDate,"dd")),"{MM}",TEXT(ttValueDate,"mm")),"{YY}",TEXT(ttValueDate,"yy"))&amp;REPT(" ",35),35)&amp;REPT(" ",70))</f>
        <v/>
      </c>
      <c r="B34" s="42">
        <f>IF($A34="","",LEN($A34))</f>
        <v/>
      </c>
      <c r="C34" s="43">
        <f>IFERROR(MATCH(26,Entries!$I$5:$I$104,0),"")</f>
        <v/>
      </c>
    </row>
    <row r="35">
      <c r="A35" s="41">
        <f>IF($C35="","",LEFT(INDEX(Entries!$C$5:$C$104,$C35)&amp;REPT(" ",14),14)&amp;TEXT(ttValueDate,"ddmmyyyy")&amp;TEXT(INDEX(Entries!$E$5:$E$104,$C35)*IF(ttAmountUnit="Paise",1,100),REPT("0",23))&amp;INDEX(Entries!$D$5:$D$104,$C35)&amp;"0"&amp;TEXT(ttValueDate,"ddmmyyyy")&amp;REPT(" ",26)&amp;LEFT(SUBSTITUTE(SUBSTITUTE(SUBSTITUTE(SUBSTITUTE(SUBSTITUTE(SUBSTITUTE(INDEX(Entries!$F$5:$F$104,$C35),"{DDMMYYYY}",TEXT(ttValueDate,"ddmmyyyy")),"{DDMMYY}",TEXT(ttValueDate,"ddmmyy")),"{YYYY}",TEXT(ttValueDate,"yyyy")),"{DD}",TEXT(ttValueDate,"dd")),"{MM}",TEXT(ttValueDate,"mm")),"{YY}",TEXT(ttValueDate,"yy"))&amp;REPT(" ",35),35)&amp;REPT(" ",70))</f>
        <v/>
      </c>
      <c r="B35" s="42">
        <f>IF($A35="","",LEN($A35))</f>
        <v/>
      </c>
      <c r="C35" s="43">
        <f>IFERROR(MATCH(27,Entries!$I$5:$I$104,0),"")</f>
        <v/>
      </c>
    </row>
    <row r="36">
      <c r="A36" s="41">
        <f>IF($C36="","",LEFT(INDEX(Entries!$C$5:$C$104,$C36)&amp;REPT(" ",14),14)&amp;TEXT(ttValueDate,"ddmmyyyy")&amp;TEXT(INDEX(Entries!$E$5:$E$104,$C36)*IF(ttAmountUnit="Paise",1,100),REPT("0",23))&amp;INDEX(Entries!$D$5:$D$104,$C36)&amp;"0"&amp;TEXT(ttValueDate,"ddmmyyyy")&amp;REPT(" ",26)&amp;LEFT(SUBSTITUTE(SUBSTITUTE(SUBSTITUTE(SUBSTITUTE(SUBSTITUTE(SUBSTITUTE(INDEX(Entries!$F$5:$F$104,$C36),"{DDMMYYYY}",TEXT(ttValueDate,"ddmmyyyy")),"{DDMMYY}",TEXT(ttValueDate,"ddmmyy")),"{YYYY}",TEXT(ttValueDate,"yyyy")),"{DD}",TEXT(ttValueDate,"dd")),"{MM}",TEXT(ttValueDate,"mm")),"{YY}",TEXT(ttValueDate,"yy"))&amp;REPT(" ",35),35)&amp;REPT(" ",70))</f>
        <v/>
      </c>
      <c r="B36" s="42">
        <f>IF($A36="","",LEN($A36))</f>
        <v/>
      </c>
      <c r="C36" s="43">
        <f>IFERROR(MATCH(28,Entries!$I$5:$I$104,0),"")</f>
        <v/>
      </c>
    </row>
    <row r="37">
      <c r="A37" s="41">
        <f>IF($C37="","",LEFT(INDEX(Entries!$C$5:$C$104,$C37)&amp;REPT(" ",14),14)&amp;TEXT(ttValueDate,"ddmmyyyy")&amp;TEXT(INDEX(Entries!$E$5:$E$104,$C37)*IF(ttAmountUnit="Paise",1,100),REPT("0",23))&amp;INDEX(Entries!$D$5:$D$104,$C37)&amp;"0"&amp;TEXT(ttValueDate,"ddmmyyyy")&amp;REPT(" ",26)&amp;LEFT(SUBSTITUTE(SUBSTITUTE(SUBSTITUTE(SUBSTITUTE(SUBSTITUTE(SUBSTITUTE(INDEX(Entries!$F$5:$F$104,$C37),"{DDMMYYYY}",TEXT(ttValueDate,"ddmmyyyy")),"{DDMMYY}",TEXT(ttValueDate,"ddmmyy")),"{YYYY}",TEXT(ttValueDate,"yyyy")),"{DD}",TEXT(ttValueDate,"dd")),"{MM}",TEXT(ttValueDate,"mm")),"{YY}",TEXT(ttValueDate,"yy"))&amp;REPT(" ",35),35)&amp;REPT(" ",70))</f>
        <v/>
      </c>
      <c r="B37" s="42">
        <f>IF($A37="","",LEN($A37))</f>
        <v/>
      </c>
      <c r="C37" s="43">
        <f>IFERROR(MATCH(29,Entries!$I$5:$I$104,0),"")</f>
        <v/>
      </c>
    </row>
    <row r="38">
      <c r="A38" s="41">
        <f>IF($C38="","",LEFT(INDEX(Entries!$C$5:$C$104,$C38)&amp;REPT(" ",14),14)&amp;TEXT(ttValueDate,"ddmmyyyy")&amp;TEXT(INDEX(Entries!$E$5:$E$104,$C38)*IF(ttAmountUnit="Paise",1,100),REPT("0",23))&amp;INDEX(Entries!$D$5:$D$104,$C38)&amp;"0"&amp;TEXT(ttValueDate,"ddmmyyyy")&amp;REPT(" ",26)&amp;LEFT(SUBSTITUTE(SUBSTITUTE(SUBSTITUTE(SUBSTITUTE(SUBSTITUTE(SUBSTITUTE(INDEX(Entries!$F$5:$F$104,$C38),"{DDMMYYYY}",TEXT(ttValueDate,"ddmmyyyy")),"{DDMMYY}",TEXT(ttValueDate,"ddmmyy")),"{YYYY}",TEXT(ttValueDate,"yyyy")),"{DD}",TEXT(ttValueDate,"dd")),"{MM}",TEXT(ttValueDate,"mm")),"{YY}",TEXT(ttValueDate,"yy"))&amp;REPT(" ",35),35)&amp;REPT(" ",70))</f>
        <v/>
      </c>
      <c r="B38" s="42">
        <f>IF($A38="","",LEN($A38))</f>
        <v/>
      </c>
      <c r="C38" s="43">
        <f>IFERROR(MATCH(30,Entries!$I$5:$I$104,0),"")</f>
        <v/>
      </c>
    </row>
    <row r="39">
      <c r="A39" s="41">
        <f>IF($C39="","",LEFT(INDEX(Entries!$C$5:$C$104,$C39)&amp;REPT(" ",14),14)&amp;TEXT(ttValueDate,"ddmmyyyy")&amp;TEXT(INDEX(Entries!$E$5:$E$104,$C39)*IF(ttAmountUnit="Paise",1,100),REPT("0",23))&amp;INDEX(Entries!$D$5:$D$104,$C39)&amp;"0"&amp;TEXT(ttValueDate,"ddmmyyyy")&amp;REPT(" ",26)&amp;LEFT(SUBSTITUTE(SUBSTITUTE(SUBSTITUTE(SUBSTITUTE(SUBSTITUTE(SUBSTITUTE(INDEX(Entries!$F$5:$F$104,$C39),"{DDMMYYYY}",TEXT(ttValueDate,"ddmmyyyy")),"{DDMMYY}",TEXT(ttValueDate,"ddmmyy")),"{YYYY}",TEXT(ttValueDate,"yyyy")),"{DD}",TEXT(ttValueDate,"dd")),"{MM}",TEXT(ttValueDate,"mm")),"{YY}",TEXT(ttValueDate,"yy"))&amp;REPT(" ",35),35)&amp;REPT(" ",70))</f>
        <v/>
      </c>
      <c r="B39" s="42">
        <f>IF($A39="","",LEN($A39))</f>
        <v/>
      </c>
      <c r="C39" s="43">
        <f>IFERROR(MATCH(31,Entries!$I$5:$I$104,0),"")</f>
        <v/>
      </c>
    </row>
    <row r="40">
      <c r="A40" s="41">
        <f>IF($C40="","",LEFT(INDEX(Entries!$C$5:$C$104,$C40)&amp;REPT(" ",14),14)&amp;TEXT(ttValueDate,"ddmmyyyy")&amp;TEXT(INDEX(Entries!$E$5:$E$104,$C40)*IF(ttAmountUnit="Paise",1,100),REPT("0",23))&amp;INDEX(Entries!$D$5:$D$104,$C40)&amp;"0"&amp;TEXT(ttValueDate,"ddmmyyyy")&amp;REPT(" ",26)&amp;LEFT(SUBSTITUTE(SUBSTITUTE(SUBSTITUTE(SUBSTITUTE(SUBSTITUTE(SUBSTITUTE(INDEX(Entries!$F$5:$F$104,$C40),"{DDMMYYYY}",TEXT(ttValueDate,"ddmmyyyy")),"{DDMMYY}",TEXT(ttValueDate,"ddmmyy")),"{YYYY}",TEXT(ttValueDate,"yyyy")),"{DD}",TEXT(ttValueDate,"dd")),"{MM}",TEXT(ttValueDate,"mm")),"{YY}",TEXT(ttValueDate,"yy"))&amp;REPT(" ",35),35)&amp;REPT(" ",70))</f>
        <v/>
      </c>
      <c r="B40" s="42">
        <f>IF($A40="","",LEN($A40))</f>
        <v/>
      </c>
      <c r="C40" s="43">
        <f>IFERROR(MATCH(32,Entries!$I$5:$I$104,0),"")</f>
        <v/>
      </c>
    </row>
    <row r="41">
      <c r="A41" s="41">
        <f>IF($C41="","",LEFT(INDEX(Entries!$C$5:$C$104,$C41)&amp;REPT(" ",14),14)&amp;TEXT(ttValueDate,"ddmmyyyy")&amp;TEXT(INDEX(Entries!$E$5:$E$104,$C41)*IF(ttAmountUnit="Paise",1,100),REPT("0",23))&amp;INDEX(Entries!$D$5:$D$104,$C41)&amp;"0"&amp;TEXT(ttValueDate,"ddmmyyyy")&amp;REPT(" ",26)&amp;LEFT(SUBSTITUTE(SUBSTITUTE(SUBSTITUTE(SUBSTITUTE(SUBSTITUTE(SUBSTITUTE(INDEX(Entries!$F$5:$F$104,$C41),"{DDMMYYYY}",TEXT(ttValueDate,"ddmmyyyy")),"{DDMMYY}",TEXT(ttValueDate,"ddmmyy")),"{YYYY}",TEXT(ttValueDate,"yyyy")),"{DD}",TEXT(ttValueDate,"dd")),"{MM}",TEXT(ttValueDate,"mm")),"{YY}",TEXT(ttValueDate,"yy"))&amp;REPT(" ",35),35)&amp;REPT(" ",70))</f>
        <v/>
      </c>
      <c r="B41" s="42">
        <f>IF($A41="","",LEN($A41))</f>
        <v/>
      </c>
      <c r="C41" s="43">
        <f>IFERROR(MATCH(33,Entries!$I$5:$I$104,0),"")</f>
        <v/>
      </c>
    </row>
    <row r="42">
      <c r="A42" s="41">
        <f>IF($C42="","",LEFT(INDEX(Entries!$C$5:$C$104,$C42)&amp;REPT(" ",14),14)&amp;TEXT(ttValueDate,"ddmmyyyy")&amp;TEXT(INDEX(Entries!$E$5:$E$104,$C42)*IF(ttAmountUnit="Paise",1,100),REPT("0",23))&amp;INDEX(Entries!$D$5:$D$104,$C42)&amp;"0"&amp;TEXT(ttValueDate,"ddmmyyyy")&amp;REPT(" ",26)&amp;LEFT(SUBSTITUTE(SUBSTITUTE(SUBSTITUTE(SUBSTITUTE(SUBSTITUTE(SUBSTITUTE(INDEX(Entries!$F$5:$F$104,$C42),"{DDMMYYYY}",TEXT(ttValueDate,"ddmmyyyy")),"{DDMMYY}",TEXT(ttValueDate,"ddmmyy")),"{YYYY}",TEXT(ttValueDate,"yyyy")),"{DD}",TEXT(ttValueDate,"dd")),"{MM}",TEXT(ttValueDate,"mm")),"{YY}",TEXT(ttValueDate,"yy"))&amp;REPT(" ",35),35)&amp;REPT(" ",70))</f>
        <v/>
      </c>
      <c r="B42" s="42">
        <f>IF($A42="","",LEN($A42))</f>
        <v/>
      </c>
      <c r="C42" s="43">
        <f>IFERROR(MATCH(34,Entries!$I$5:$I$104,0),"")</f>
        <v/>
      </c>
    </row>
    <row r="43">
      <c r="A43" s="41">
        <f>IF($C43="","",LEFT(INDEX(Entries!$C$5:$C$104,$C43)&amp;REPT(" ",14),14)&amp;TEXT(ttValueDate,"ddmmyyyy")&amp;TEXT(INDEX(Entries!$E$5:$E$104,$C43)*IF(ttAmountUnit="Paise",1,100),REPT("0",23))&amp;INDEX(Entries!$D$5:$D$104,$C43)&amp;"0"&amp;TEXT(ttValueDate,"ddmmyyyy")&amp;REPT(" ",26)&amp;LEFT(SUBSTITUTE(SUBSTITUTE(SUBSTITUTE(SUBSTITUTE(SUBSTITUTE(SUBSTITUTE(INDEX(Entries!$F$5:$F$104,$C43),"{DDMMYYYY}",TEXT(ttValueDate,"ddmmyyyy")),"{DDMMYY}",TEXT(ttValueDate,"ddmmyy")),"{YYYY}",TEXT(ttValueDate,"yyyy")),"{DD}",TEXT(ttValueDate,"dd")),"{MM}",TEXT(ttValueDate,"mm")),"{YY}",TEXT(ttValueDate,"yy"))&amp;REPT(" ",35),35)&amp;REPT(" ",70))</f>
        <v/>
      </c>
      <c r="B43" s="42">
        <f>IF($A43="","",LEN($A43))</f>
        <v/>
      </c>
      <c r="C43" s="43">
        <f>IFERROR(MATCH(35,Entries!$I$5:$I$104,0),"")</f>
        <v/>
      </c>
    </row>
    <row r="44">
      <c r="A44" s="41">
        <f>IF($C44="","",LEFT(INDEX(Entries!$C$5:$C$104,$C44)&amp;REPT(" ",14),14)&amp;TEXT(ttValueDate,"ddmmyyyy")&amp;TEXT(INDEX(Entries!$E$5:$E$104,$C44)*IF(ttAmountUnit="Paise",1,100),REPT("0",23))&amp;INDEX(Entries!$D$5:$D$104,$C44)&amp;"0"&amp;TEXT(ttValueDate,"ddmmyyyy")&amp;REPT(" ",26)&amp;LEFT(SUBSTITUTE(SUBSTITUTE(SUBSTITUTE(SUBSTITUTE(SUBSTITUTE(SUBSTITUTE(INDEX(Entries!$F$5:$F$104,$C44),"{DDMMYYYY}",TEXT(ttValueDate,"ddmmyyyy")),"{DDMMYY}",TEXT(ttValueDate,"ddmmyy")),"{YYYY}",TEXT(ttValueDate,"yyyy")),"{DD}",TEXT(ttValueDate,"dd")),"{MM}",TEXT(ttValueDate,"mm")),"{YY}",TEXT(ttValueDate,"yy"))&amp;REPT(" ",35),35)&amp;REPT(" ",70))</f>
        <v/>
      </c>
      <c r="B44" s="42">
        <f>IF($A44="","",LEN($A44))</f>
        <v/>
      </c>
      <c r="C44" s="43">
        <f>IFERROR(MATCH(36,Entries!$I$5:$I$104,0),"")</f>
        <v/>
      </c>
    </row>
    <row r="45">
      <c r="A45" s="41">
        <f>IF($C45="","",LEFT(INDEX(Entries!$C$5:$C$104,$C45)&amp;REPT(" ",14),14)&amp;TEXT(ttValueDate,"ddmmyyyy")&amp;TEXT(INDEX(Entries!$E$5:$E$104,$C45)*IF(ttAmountUnit="Paise",1,100),REPT("0",23))&amp;INDEX(Entries!$D$5:$D$104,$C45)&amp;"0"&amp;TEXT(ttValueDate,"ddmmyyyy")&amp;REPT(" ",26)&amp;LEFT(SUBSTITUTE(SUBSTITUTE(SUBSTITUTE(SUBSTITUTE(SUBSTITUTE(SUBSTITUTE(INDEX(Entries!$F$5:$F$104,$C45),"{DDMMYYYY}",TEXT(ttValueDate,"ddmmyyyy")),"{DDMMYY}",TEXT(ttValueDate,"ddmmyy")),"{YYYY}",TEXT(ttValueDate,"yyyy")),"{DD}",TEXT(ttValueDate,"dd")),"{MM}",TEXT(ttValueDate,"mm")),"{YY}",TEXT(ttValueDate,"yy"))&amp;REPT(" ",35),35)&amp;REPT(" ",70))</f>
        <v/>
      </c>
      <c r="B45" s="42">
        <f>IF($A45="","",LEN($A45))</f>
        <v/>
      </c>
      <c r="C45" s="43">
        <f>IFERROR(MATCH(37,Entries!$I$5:$I$104,0),"")</f>
        <v/>
      </c>
    </row>
    <row r="46">
      <c r="A46" s="41">
        <f>IF($C46="","",LEFT(INDEX(Entries!$C$5:$C$104,$C46)&amp;REPT(" ",14),14)&amp;TEXT(ttValueDate,"ddmmyyyy")&amp;TEXT(INDEX(Entries!$E$5:$E$104,$C46)*IF(ttAmountUnit="Paise",1,100),REPT("0",23))&amp;INDEX(Entries!$D$5:$D$104,$C46)&amp;"0"&amp;TEXT(ttValueDate,"ddmmyyyy")&amp;REPT(" ",26)&amp;LEFT(SUBSTITUTE(SUBSTITUTE(SUBSTITUTE(SUBSTITUTE(SUBSTITUTE(SUBSTITUTE(INDEX(Entries!$F$5:$F$104,$C46),"{DDMMYYYY}",TEXT(ttValueDate,"ddmmyyyy")),"{DDMMYY}",TEXT(ttValueDate,"ddmmyy")),"{YYYY}",TEXT(ttValueDate,"yyyy")),"{DD}",TEXT(ttValueDate,"dd")),"{MM}",TEXT(ttValueDate,"mm")),"{YY}",TEXT(ttValueDate,"yy"))&amp;REPT(" ",35),35)&amp;REPT(" ",70))</f>
        <v/>
      </c>
      <c r="B46" s="42">
        <f>IF($A46="","",LEN($A46))</f>
        <v/>
      </c>
      <c r="C46" s="43">
        <f>IFERROR(MATCH(38,Entries!$I$5:$I$104,0),"")</f>
        <v/>
      </c>
    </row>
    <row r="47">
      <c r="A47" s="41">
        <f>IF($C47="","",LEFT(INDEX(Entries!$C$5:$C$104,$C47)&amp;REPT(" ",14),14)&amp;TEXT(ttValueDate,"ddmmyyyy")&amp;TEXT(INDEX(Entries!$E$5:$E$104,$C47)*IF(ttAmountUnit="Paise",1,100),REPT("0",23))&amp;INDEX(Entries!$D$5:$D$104,$C47)&amp;"0"&amp;TEXT(ttValueDate,"ddmmyyyy")&amp;REPT(" ",26)&amp;LEFT(SUBSTITUTE(SUBSTITUTE(SUBSTITUTE(SUBSTITUTE(SUBSTITUTE(SUBSTITUTE(INDEX(Entries!$F$5:$F$104,$C47),"{DDMMYYYY}",TEXT(ttValueDate,"ddmmyyyy")),"{DDMMYY}",TEXT(ttValueDate,"ddmmyy")),"{YYYY}",TEXT(ttValueDate,"yyyy")),"{DD}",TEXT(ttValueDate,"dd")),"{MM}",TEXT(ttValueDate,"mm")),"{YY}",TEXT(ttValueDate,"yy"))&amp;REPT(" ",35),35)&amp;REPT(" ",70))</f>
        <v/>
      </c>
      <c r="B47" s="42">
        <f>IF($A47="","",LEN($A47))</f>
        <v/>
      </c>
      <c r="C47" s="43">
        <f>IFERROR(MATCH(39,Entries!$I$5:$I$104,0),"")</f>
        <v/>
      </c>
    </row>
    <row r="48">
      <c r="A48" s="41">
        <f>IF($C48="","",LEFT(INDEX(Entries!$C$5:$C$104,$C48)&amp;REPT(" ",14),14)&amp;TEXT(ttValueDate,"ddmmyyyy")&amp;TEXT(INDEX(Entries!$E$5:$E$104,$C48)*IF(ttAmountUnit="Paise",1,100),REPT("0",23))&amp;INDEX(Entries!$D$5:$D$104,$C48)&amp;"0"&amp;TEXT(ttValueDate,"ddmmyyyy")&amp;REPT(" ",26)&amp;LEFT(SUBSTITUTE(SUBSTITUTE(SUBSTITUTE(SUBSTITUTE(SUBSTITUTE(SUBSTITUTE(INDEX(Entries!$F$5:$F$104,$C48),"{DDMMYYYY}",TEXT(ttValueDate,"ddmmyyyy")),"{DDMMYY}",TEXT(ttValueDate,"ddmmyy")),"{YYYY}",TEXT(ttValueDate,"yyyy")),"{DD}",TEXT(ttValueDate,"dd")),"{MM}",TEXT(ttValueDate,"mm")),"{YY}",TEXT(ttValueDate,"yy"))&amp;REPT(" ",35),35)&amp;REPT(" ",70))</f>
        <v/>
      </c>
      <c r="B48" s="42">
        <f>IF($A48="","",LEN($A48))</f>
        <v/>
      </c>
      <c r="C48" s="43">
        <f>IFERROR(MATCH(40,Entries!$I$5:$I$104,0),"")</f>
        <v/>
      </c>
    </row>
    <row r="49">
      <c r="A49" s="41">
        <f>IF($C49="","",LEFT(INDEX(Entries!$C$5:$C$104,$C49)&amp;REPT(" ",14),14)&amp;TEXT(ttValueDate,"ddmmyyyy")&amp;TEXT(INDEX(Entries!$E$5:$E$104,$C49)*IF(ttAmountUnit="Paise",1,100),REPT("0",23))&amp;INDEX(Entries!$D$5:$D$104,$C49)&amp;"0"&amp;TEXT(ttValueDate,"ddmmyyyy")&amp;REPT(" ",26)&amp;LEFT(SUBSTITUTE(SUBSTITUTE(SUBSTITUTE(SUBSTITUTE(SUBSTITUTE(SUBSTITUTE(INDEX(Entries!$F$5:$F$104,$C49),"{DDMMYYYY}",TEXT(ttValueDate,"ddmmyyyy")),"{DDMMYY}",TEXT(ttValueDate,"ddmmyy")),"{YYYY}",TEXT(ttValueDate,"yyyy")),"{DD}",TEXT(ttValueDate,"dd")),"{MM}",TEXT(ttValueDate,"mm")),"{YY}",TEXT(ttValueDate,"yy"))&amp;REPT(" ",35),35)&amp;REPT(" ",70))</f>
        <v/>
      </c>
      <c r="B49" s="42">
        <f>IF($A49="","",LEN($A49))</f>
        <v/>
      </c>
      <c r="C49" s="43">
        <f>IFERROR(MATCH(41,Entries!$I$5:$I$104,0),"")</f>
        <v/>
      </c>
    </row>
    <row r="50">
      <c r="A50" s="41">
        <f>IF($C50="","",LEFT(INDEX(Entries!$C$5:$C$104,$C50)&amp;REPT(" ",14),14)&amp;TEXT(ttValueDate,"ddmmyyyy")&amp;TEXT(INDEX(Entries!$E$5:$E$104,$C50)*IF(ttAmountUnit="Paise",1,100),REPT("0",23))&amp;INDEX(Entries!$D$5:$D$104,$C50)&amp;"0"&amp;TEXT(ttValueDate,"ddmmyyyy")&amp;REPT(" ",26)&amp;LEFT(SUBSTITUTE(SUBSTITUTE(SUBSTITUTE(SUBSTITUTE(SUBSTITUTE(SUBSTITUTE(INDEX(Entries!$F$5:$F$104,$C50),"{DDMMYYYY}",TEXT(ttValueDate,"ddmmyyyy")),"{DDMMYY}",TEXT(ttValueDate,"ddmmyy")),"{YYYY}",TEXT(ttValueDate,"yyyy")),"{DD}",TEXT(ttValueDate,"dd")),"{MM}",TEXT(ttValueDate,"mm")),"{YY}",TEXT(ttValueDate,"yy"))&amp;REPT(" ",35),35)&amp;REPT(" ",70))</f>
        <v/>
      </c>
      <c r="B50" s="42">
        <f>IF($A50="","",LEN($A50))</f>
        <v/>
      </c>
      <c r="C50" s="43">
        <f>IFERROR(MATCH(42,Entries!$I$5:$I$104,0),"")</f>
        <v/>
      </c>
    </row>
    <row r="51">
      <c r="A51" s="41">
        <f>IF($C51="","",LEFT(INDEX(Entries!$C$5:$C$104,$C51)&amp;REPT(" ",14),14)&amp;TEXT(ttValueDate,"ddmmyyyy")&amp;TEXT(INDEX(Entries!$E$5:$E$104,$C51)*IF(ttAmountUnit="Paise",1,100),REPT("0",23))&amp;INDEX(Entries!$D$5:$D$104,$C51)&amp;"0"&amp;TEXT(ttValueDate,"ddmmyyyy")&amp;REPT(" ",26)&amp;LEFT(SUBSTITUTE(SUBSTITUTE(SUBSTITUTE(SUBSTITUTE(SUBSTITUTE(SUBSTITUTE(INDEX(Entries!$F$5:$F$104,$C51),"{DDMMYYYY}",TEXT(ttValueDate,"ddmmyyyy")),"{DDMMYY}",TEXT(ttValueDate,"ddmmyy")),"{YYYY}",TEXT(ttValueDate,"yyyy")),"{DD}",TEXT(ttValueDate,"dd")),"{MM}",TEXT(ttValueDate,"mm")),"{YY}",TEXT(ttValueDate,"yy"))&amp;REPT(" ",35),35)&amp;REPT(" ",70))</f>
        <v/>
      </c>
      <c r="B51" s="42">
        <f>IF($A51="","",LEN($A51))</f>
        <v/>
      </c>
      <c r="C51" s="43">
        <f>IFERROR(MATCH(43,Entries!$I$5:$I$104,0),"")</f>
        <v/>
      </c>
    </row>
    <row r="52">
      <c r="A52" s="41">
        <f>IF($C52="","",LEFT(INDEX(Entries!$C$5:$C$104,$C52)&amp;REPT(" ",14),14)&amp;TEXT(ttValueDate,"ddmmyyyy")&amp;TEXT(INDEX(Entries!$E$5:$E$104,$C52)*IF(ttAmountUnit="Paise",1,100),REPT("0",23))&amp;INDEX(Entries!$D$5:$D$104,$C52)&amp;"0"&amp;TEXT(ttValueDate,"ddmmyyyy")&amp;REPT(" ",26)&amp;LEFT(SUBSTITUTE(SUBSTITUTE(SUBSTITUTE(SUBSTITUTE(SUBSTITUTE(SUBSTITUTE(INDEX(Entries!$F$5:$F$104,$C52),"{DDMMYYYY}",TEXT(ttValueDate,"ddmmyyyy")),"{DDMMYY}",TEXT(ttValueDate,"ddmmyy")),"{YYYY}",TEXT(ttValueDate,"yyyy")),"{DD}",TEXT(ttValueDate,"dd")),"{MM}",TEXT(ttValueDate,"mm")),"{YY}",TEXT(ttValueDate,"yy"))&amp;REPT(" ",35),35)&amp;REPT(" ",70))</f>
        <v/>
      </c>
      <c r="B52" s="42">
        <f>IF($A52="","",LEN($A52))</f>
        <v/>
      </c>
      <c r="C52" s="43">
        <f>IFERROR(MATCH(44,Entries!$I$5:$I$104,0),"")</f>
        <v/>
      </c>
    </row>
    <row r="53">
      <c r="A53" s="41">
        <f>IF($C53="","",LEFT(INDEX(Entries!$C$5:$C$104,$C53)&amp;REPT(" ",14),14)&amp;TEXT(ttValueDate,"ddmmyyyy")&amp;TEXT(INDEX(Entries!$E$5:$E$104,$C53)*IF(ttAmountUnit="Paise",1,100),REPT("0",23))&amp;INDEX(Entries!$D$5:$D$104,$C53)&amp;"0"&amp;TEXT(ttValueDate,"ddmmyyyy")&amp;REPT(" ",26)&amp;LEFT(SUBSTITUTE(SUBSTITUTE(SUBSTITUTE(SUBSTITUTE(SUBSTITUTE(SUBSTITUTE(INDEX(Entries!$F$5:$F$104,$C53),"{DDMMYYYY}",TEXT(ttValueDate,"ddmmyyyy")),"{DDMMYY}",TEXT(ttValueDate,"ddmmyy")),"{YYYY}",TEXT(ttValueDate,"yyyy")),"{DD}",TEXT(ttValueDate,"dd")),"{MM}",TEXT(ttValueDate,"mm")),"{YY}",TEXT(ttValueDate,"yy"))&amp;REPT(" ",35),35)&amp;REPT(" ",70))</f>
        <v/>
      </c>
      <c r="B53" s="42">
        <f>IF($A53="","",LEN($A53))</f>
        <v/>
      </c>
      <c r="C53" s="43">
        <f>IFERROR(MATCH(45,Entries!$I$5:$I$104,0),"")</f>
        <v/>
      </c>
    </row>
    <row r="54">
      <c r="A54" s="41">
        <f>IF($C54="","",LEFT(INDEX(Entries!$C$5:$C$104,$C54)&amp;REPT(" ",14),14)&amp;TEXT(ttValueDate,"ddmmyyyy")&amp;TEXT(INDEX(Entries!$E$5:$E$104,$C54)*IF(ttAmountUnit="Paise",1,100),REPT("0",23))&amp;INDEX(Entries!$D$5:$D$104,$C54)&amp;"0"&amp;TEXT(ttValueDate,"ddmmyyyy")&amp;REPT(" ",26)&amp;LEFT(SUBSTITUTE(SUBSTITUTE(SUBSTITUTE(SUBSTITUTE(SUBSTITUTE(SUBSTITUTE(INDEX(Entries!$F$5:$F$104,$C54),"{DDMMYYYY}",TEXT(ttValueDate,"ddmmyyyy")),"{DDMMYY}",TEXT(ttValueDate,"ddmmyy")),"{YYYY}",TEXT(ttValueDate,"yyyy")),"{DD}",TEXT(ttValueDate,"dd")),"{MM}",TEXT(ttValueDate,"mm")),"{YY}",TEXT(ttValueDate,"yy"))&amp;REPT(" ",35),35)&amp;REPT(" ",70))</f>
        <v/>
      </c>
      <c r="B54" s="42">
        <f>IF($A54="","",LEN($A54))</f>
        <v/>
      </c>
      <c r="C54" s="43">
        <f>IFERROR(MATCH(46,Entries!$I$5:$I$104,0),"")</f>
        <v/>
      </c>
    </row>
    <row r="55">
      <c r="A55" s="41">
        <f>IF($C55="","",LEFT(INDEX(Entries!$C$5:$C$104,$C55)&amp;REPT(" ",14),14)&amp;TEXT(ttValueDate,"ddmmyyyy")&amp;TEXT(INDEX(Entries!$E$5:$E$104,$C55)*IF(ttAmountUnit="Paise",1,100),REPT("0",23))&amp;INDEX(Entries!$D$5:$D$104,$C55)&amp;"0"&amp;TEXT(ttValueDate,"ddmmyyyy")&amp;REPT(" ",26)&amp;LEFT(SUBSTITUTE(SUBSTITUTE(SUBSTITUTE(SUBSTITUTE(SUBSTITUTE(SUBSTITUTE(INDEX(Entries!$F$5:$F$104,$C55),"{DDMMYYYY}",TEXT(ttValueDate,"ddmmyyyy")),"{DDMMYY}",TEXT(ttValueDate,"ddmmyy")),"{YYYY}",TEXT(ttValueDate,"yyyy")),"{DD}",TEXT(ttValueDate,"dd")),"{MM}",TEXT(ttValueDate,"mm")),"{YY}",TEXT(ttValueDate,"yy"))&amp;REPT(" ",35),35)&amp;REPT(" ",70))</f>
        <v/>
      </c>
      <c r="B55" s="42">
        <f>IF($A55="","",LEN($A55))</f>
        <v/>
      </c>
      <c r="C55" s="43">
        <f>IFERROR(MATCH(47,Entries!$I$5:$I$104,0),"")</f>
        <v/>
      </c>
    </row>
    <row r="56">
      <c r="A56" s="41">
        <f>IF($C56="","",LEFT(INDEX(Entries!$C$5:$C$104,$C56)&amp;REPT(" ",14),14)&amp;TEXT(ttValueDate,"ddmmyyyy")&amp;TEXT(INDEX(Entries!$E$5:$E$104,$C56)*IF(ttAmountUnit="Paise",1,100),REPT("0",23))&amp;INDEX(Entries!$D$5:$D$104,$C56)&amp;"0"&amp;TEXT(ttValueDate,"ddmmyyyy")&amp;REPT(" ",26)&amp;LEFT(SUBSTITUTE(SUBSTITUTE(SUBSTITUTE(SUBSTITUTE(SUBSTITUTE(SUBSTITUTE(INDEX(Entries!$F$5:$F$104,$C56),"{DDMMYYYY}",TEXT(ttValueDate,"ddmmyyyy")),"{DDMMYY}",TEXT(ttValueDate,"ddmmyy")),"{YYYY}",TEXT(ttValueDate,"yyyy")),"{DD}",TEXT(ttValueDate,"dd")),"{MM}",TEXT(ttValueDate,"mm")),"{YY}",TEXT(ttValueDate,"yy"))&amp;REPT(" ",35),35)&amp;REPT(" ",70))</f>
        <v/>
      </c>
      <c r="B56" s="42">
        <f>IF($A56="","",LEN($A56))</f>
        <v/>
      </c>
      <c r="C56" s="43">
        <f>IFERROR(MATCH(48,Entries!$I$5:$I$104,0),"")</f>
        <v/>
      </c>
    </row>
    <row r="57">
      <c r="A57" s="41">
        <f>IF($C57="","",LEFT(INDEX(Entries!$C$5:$C$104,$C57)&amp;REPT(" ",14),14)&amp;TEXT(ttValueDate,"ddmmyyyy")&amp;TEXT(INDEX(Entries!$E$5:$E$104,$C57)*IF(ttAmountUnit="Paise",1,100),REPT("0",23))&amp;INDEX(Entries!$D$5:$D$104,$C57)&amp;"0"&amp;TEXT(ttValueDate,"ddmmyyyy")&amp;REPT(" ",26)&amp;LEFT(SUBSTITUTE(SUBSTITUTE(SUBSTITUTE(SUBSTITUTE(SUBSTITUTE(SUBSTITUTE(INDEX(Entries!$F$5:$F$104,$C57),"{DDMMYYYY}",TEXT(ttValueDate,"ddmmyyyy")),"{DDMMYY}",TEXT(ttValueDate,"ddmmyy")),"{YYYY}",TEXT(ttValueDate,"yyyy")),"{DD}",TEXT(ttValueDate,"dd")),"{MM}",TEXT(ttValueDate,"mm")),"{YY}",TEXT(ttValueDate,"yy"))&amp;REPT(" ",35),35)&amp;REPT(" ",70))</f>
        <v/>
      </c>
      <c r="B57" s="42">
        <f>IF($A57="","",LEN($A57))</f>
        <v/>
      </c>
      <c r="C57" s="43">
        <f>IFERROR(MATCH(49,Entries!$I$5:$I$104,0),"")</f>
        <v/>
      </c>
    </row>
    <row r="58">
      <c r="A58" s="41">
        <f>IF($C58="","",LEFT(INDEX(Entries!$C$5:$C$104,$C58)&amp;REPT(" ",14),14)&amp;TEXT(ttValueDate,"ddmmyyyy")&amp;TEXT(INDEX(Entries!$E$5:$E$104,$C58)*IF(ttAmountUnit="Paise",1,100),REPT("0",23))&amp;INDEX(Entries!$D$5:$D$104,$C58)&amp;"0"&amp;TEXT(ttValueDate,"ddmmyyyy")&amp;REPT(" ",26)&amp;LEFT(SUBSTITUTE(SUBSTITUTE(SUBSTITUTE(SUBSTITUTE(SUBSTITUTE(SUBSTITUTE(INDEX(Entries!$F$5:$F$104,$C58),"{DDMMYYYY}",TEXT(ttValueDate,"ddmmyyyy")),"{DDMMYY}",TEXT(ttValueDate,"ddmmyy")),"{YYYY}",TEXT(ttValueDate,"yyyy")),"{DD}",TEXT(ttValueDate,"dd")),"{MM}",TEXT(ttValueDate,"mm")),"{YY}",TEXT(ttValueDate,"yy"))&amp;REPT(" ",35),35)&amp;REPT(" ",70))</f>
        <v/>
      </c>
      <c r="B58" s="42">
        <f>IF($A58="","",LEN($A58))</f>
        <v/>
      </c>
      <c r="C58" s="43">
        <f>IFERROR(MATCH(50,Entries!$I$5:$I$104,0),"")</f>
        <v/>
      </c>
    </row>
    <row r="59">
      <c r="A59" s="41">
        <f>IF($C59="","",LEFT(INDEX(Entries!$C$5:$C$104,$C59)&amp;REPT(" ",14),14)&amp;TEXT(ttValueDate,"ddmmyyyy")&amp;TEXT(INDEX(Entries!$E$5:$E$104,$C59)*IF(ttAmountUnit="Paise",1,100),REPT("0",23))&amp;INDEX(Entries!$D$5:$D$104,$C59)&amp;"0"&amp;TEXT(ttValueDate,"ddmmyyyy")&amp;REPT(" ",26)&amp;LEFT(SUBSTITUTE(SUBSTITUTE(SUBSTITUTE(SUBSTITUTE(SUBSTITUTE(SUBSTITUTE(INDEX(Entries!$F$5:$F$104,$C59),"{DDMMYYYY}",TEXT(ttValueDate,"ddmmyyyy")),"{DDMMYY}",TEXT(ttValueDate,"ddmmyy")),"{YYYY}",TEXT(ttValueDate,"yyyy")),"{DD}",TEXT(ttValueDate,"dd")),"{MM}",TEXT(ttValueDate,"mm")),"{YY}",TEXT(ttValueDate,"yy"))&amp;REPT(" ",35),35)&amp;REPT(" ",70))</f>
        <v/>
      </c>
      <c r="B59" s="42">
        <f>IF($A59="","",LEN($A59))</f>
        <v/>
      </c>
      <c r="C59" s="43">
        <f>IFERROR(MATCH(51,Entries!$I$5:$I$104,0),"")</f>
        <v/>
      </c>
    </row>
    <row r="60">
      <c r="A60" s="41">
        <f>IF($C60="","",LEFT(INDEX(Entries!$C$5:$C$104,$C60)&amp;REPT(" ",14),14)&amp;TEXT(ttValueDate,"ddmmyyyy")&amp;TEXT(INDEX(Entries!$E$5:$E$104,$C60)*IF(ttAmountUnit="Paise",1,100),REPT("0",23))&amp;INDEX(Entries!$D$5:$D$104,$C60)&amp;"0"&amp;TEXT(ttValueDate,"ddmmyyyy")&amp;REPT(" ",26)&amp;LEFT(SUBSTITUTE(SUBSTITUTE(SUBSTITUTE(SUBSTITUTE(SUBSTITUTE(SUBSTITUTE(INDEX(Entries!$F$5:$F$104,$C60),"{DDMMYYYY}",TEXT(ttValueDate,"ddmmyyyy")),"{DDMMYY}",TEXT(ttValueDate,"ddmmyy")),"{YYYY}",TEXT(ttValueDate,"yyyy")),"{DD}",TEXT(ttValueDate,"dd")),"{MM}",TEXT(ttValueDate,"mm")),"{YY}",TEXT(ttValueDate,"yy"))&amp;REPT(" ",35),35)&amp;REPT(" ",70))</f>
        <v/>
      </c>
      <c r="B60" s="42">
        <f>IF($A60="","",LEN($A60))</f>
        <v/>
      </c>
      <c r="C60" s="43">
        <f>IFERROR(MATCH(52,Entries!$I$5:$I$104,0),"")</f>
        <v/>
      </c>
    </row>
    <row r="61">
      <c r="A61" s="41">
        <f>IF($C61="","",LEFT(INDEX(Entries!$C$5:$C$104,$C61)&amp;REPT(" ",14),14)&amp;TEXT(ttValueDate,"ddmmyyyy")&amp;TEXT(INDEX(Entries!$E$5:$E$104,$C61)*IF(ttAmountUnit="Paise",1,100),REPT("0",23))&amp;INDEX(Entries!$D$5:$D$104,$C61)&amp;"0"&amp;TEXT(ttValueDate,"ddmmyyyy")&amp;REPT(" ",26)&amp;LEFT(SUBSTITUTE(SUBSTITUTE(SUBSTITUTE(SUBSTITUTE(SUBSTITUTE(SUBSTITUTE(INDEX(Entries!$F$5:$F$104,$C61),"{DDMMYYYY}",TEXT(ttValueDate,"ddmmyyyy")),"{DDMMYY}",TEXT(ttValueDate,"ddmmyy")),"{YYYY}",TEXT(ttValueDate,"yyyy")),"{DD}",TEXT(ttValueDate,"dd")),"{MM}",TEXT(ttValueDate,"mm")),"{YY}",TEXT(ttValueDate,"yy"))&amp;REPT(" ",35),35)&amp;REPT(" ",70))</f>
        <v/>
      </c>
      <c r="B61" s="42">
        <f>IF($A61="","",LEN($A61))</f>
        <v/>
      </c>
      <c r="C61" s="43">
        <f>IFERROR(MATCH(53,Entries!$I$5:$I$104,0),"")</f>
        <v/>
      </c>
    </row>
    <row r="62">
      <c r="A62" s="41">
        <f>IF($C62="","",LEFT(INDEX(Entries!$C$5:$C$104,$C62)&amp;REPT(" ",14),14)&amp;TEXT(ttValueDate,"ddmmyyyy")&amp;TEXT(INDEX(Entries!$E$5:$E$104,$C62)*IF(ttAmountUnit="Paise",1,100),REPT("0",23))&amp;INDEX(Entries!$D$5:$D$104,$C62)&amp;"0"&amp;TEXT(ttValueDate,"ddmmyyyy")&amp;REPT(" ",26)&amp;LEFT(SUBSTITUTE(SUBSTITUTE(SUBSTITUTE(SUBSTITUTE(SUBSTITUTE(SUBSTITUTE(INDEX(Entries!$F$5:$F$104,$C62),"{DDMMYYYY}",TEXT(ttValueDate,"ddmmyyyy")),"{DDMMYY}",TEXT(ttValueDate,"ddmmyy")),"{YYYY}",TEXT(ttValueDate,"yyyy")),"{DD}",TEXT(ttValueDate,"dd")),"{MM}",TEXT(ttValueDate,"mm")),"{YY}",TEXT(ttValueDate,"yy"))&amp;REPT(" ",35),35)&amp;REPT(" ",70))</f>
        <v/>
      </c>
      <c r="B62" s="42">
        <f>IF($A62="","",LEN($A62))</f>
        <v/>
      </c>
      <c r="C62" s="43">
        <f>IFERROR(MATCH(54,Entries!$I$5:$I$104,0),"")</f>
        <v/>
      </c>
    </row>
    <row r="63">
      <c r="A63" s="41">
        <f>IF($C63="","",LEFT(INDEX(Entries!$C$5:$C$104,$C63)&amp;REPT(" ",14),14)&amp;TEXT(ttValueDate,"ddmmyyyy")&amp;TEXT(INDEX(Entries!$E$5:$E$104,$C63)*IF(ttAmountUnit="Paise",1,100),REPT("0",23))&amp;INDEX(Entries!$D$5:$D$104,$C63)&amp;"0"&amp;TEXT(ttValueDate,"ddmmyyyy")&amp;REPT(" ",26)&amp;LEFT(SUBSTITUTE(SUBSTITUTE(SUBSTITUTE(SUBSTITUTE(SUBSTITUTE(SUBSTITUTE(INDEX(Entries!$F$5:$F$104,$C63),"{DDMMYYYY}",TEXT(ttValueDate,"ddmmyyyy")),"{DDMMYY}",TEXT(ttValueDate,"ddmmyy")),"{YYYY}",TEXT(ttValueDate,"yyyy")),"{DD}",TEXT(ttValueDate,"dd")),"{MM}",TEXT(ttValueDate,"mm")),"{YY}",TEXT(ttValueDate,"yy"))&amp;REPT(" ",35),35)&amp;REPT(" ",70))</f>
        <v/>
      </c>
      <c r="B63" s="42">
        <f>IF($A63="","",LEN($A63))</f>
        <v/>
      </c>
      <c r="C63" s="43">
        <f>IFERROR(MATCH(55,Entries!$I$5:$I$104,0),"")</f>
        <v/>
      </c>
    </row>
    <row r="64">
      <c r="A64" s="41">
        <f>IF($C64="","",LEFT(INDEX(Entries!$C$5:$C$104,$C64)&amp;REPT(" ",14),14)&amp;TEXT(ttValueDate,"ddmmyyyy")&amp;TEXT(INDEX(Entries!$E$5:$E$104,$C64)*IF(ttAmountUnit="Paise",1,100),REPT("0",23))&amp;INDEX(Entries!$D$5:$D$104,$C64)&amp;"0"&amp;TEXT(ttValueDate,"ddmmyyyy")&amp;REPT(" ",26)&amp;LEFT(SUBSTITUTE(SUBSTITUTE(SUBSTITUTE(SUBSTITUTE(SUBSTITUTE(SUBSTITUTE(INDEX(Entries!$F$5:$F$104,$C64),"{DDMMYYYY}",TEXT(ttValueDate,"ddmmyyyy")),"{DDMMYY}",TEXT(ttValueDate,"ddmmyy")),"{YYYY}",TEXT(ttValueDate,"yyyy")),"{DD}",TEXT(ttValueDate,"dd")),"{MM}",TEXT(ttValueDate,"mm")),"{YY}",TEXT(ttValueDate,"yy"))&amp;REPT(" ",35),35)&amp;REPT(" ",70))</f>
        <v/>
      </c>
      <c r="B64" s="42">
        <f>IF($A64="","",LEN($A64))</f>
        <v/>
      </c>
      <c r="C64" s="43">
        <f>IFERROR(MATCH(56,Entries!$I$5:$I$104,0),"")</f>
        <v/>
      </c>
    </row>
    <row r="65">
      <c r="A65" s="41">
        <f>IF($C65="","",LEFT(INDEX(Entries!$C$5:$C$104,$C65)&amp;REPT(" ",14),14)&amp;TEXT(ttValueDate,"ddmmyyyy")&amp;TEXT(INDEX(Entries!$E$5:$E$104,$C65)*IF(ttAmountUnit="Paise",1,100),REPT("0",23))&amp;INDEX(Entries!$D$5:$D$104,$C65)&amp;"0"&amp;TEXT(ttValueDate,"ddmmyyyy")&amp;REPT(" ",26)&amp;LEFT(SUBSTITUTE(SUBSTITUTE(SUBSTITUTE(SUBSTITUTE(SUBSTITUTE(SUBSTITUTE(INDEX(Entries!$F$5:$F$104,$C65),"{DDMMYYYY}",TEXT(ttValueDate,"ddmmyyyy")),"{DDMMYY}",TEXT(ttValueDate,"ddmmyy")),"{YYYY}",TEXT(ttValueDate,"yyyy")),"{DD}",TEXT(ttValueDate,"dd")),"{MM}",TEXT(ttValueDate,"mm")),"{YY}",TEXT(ttValueDate,"yy"))&amp;REPT(" ",35),35)&amp;REPT(" ",70))</f>
        <v/>
      </c>
      <c r="B65" s="42">
        <f>IF($A65="","",LEN($A65))</f>
        <v/>
      </c>
      <c r="C65" s="43">
        <f>IFERROR(MATCH(57,Entries!$I$5:$I$104,0),"")</f>
        <v/>
      </c>
    </row>
    <row r="66">
      <c r="A66" s="41">
        <f>IF($C66="","",LEFT(INDEX(Entries!$C$5:$C$104,$C66)&amp;REPT(" ",14),14)&amp;TEXT(ttValueDate,"ddmmyyyy")&amp;TEXT(INDEX(Entries!$E$5:$E$104,$C66)*IF(ttAmountUnit="Paise",1,100),REPT("0",23))&amp;INDEX(Entries!$D$5:$D$104,$C66)&amp;"0"&amp;TEXT(ttValueDate,"ddmmyyyy")&amp;REPT(" ",26)&amp;LEFT(SUBSTITUTE(SUBSTITUTE(SUBSTITUTE(SUBSTITUTE(SUBSTITUTE(SUBSTITUTE(INDEX(Entries!$F$5:$F$104,$C66),"{DDMMYYYY}",TEXT(ttValueDate,"ddmmyyyy")),"{DDMMYY}",TEXT(ttValueDate,"ddmmyy")),"{YYYY}",TEXT(ttValueDate,"yyyy")),"{DD}",TEXT(ttValueDate,"dd")),"{MM}",TEXT(ttValueDate,"mm")),"{YY}",TEXT(ttValueDate,"yy"))&amp;REPT(" ",35),35)&amp;REPT(" ",70))</f>
        <v/>
      </c>
      <c r="B66" s="42">
        <f>IF($A66="","",LEN($A66))</f>
        <v/>
      </c>
      <c r="C66" s="43">
        <f>IFERROR(MATCH(58,Entries!$I$5:$I$104,0),"")</f>
        <v/>
      </c>
    </row>
    <row r="67">
      <c r="A67" s="41">
        <f>IF($C67="","",LEFT(INDEX(Entries!$C$5:$C$104,$C67)&amp;REPT(" ",14),14)&amp;TEXT(ttValueDate,"ddmmyyyy")&amp;TEXT(INDEX(Entries!$E$5:$E$104,$C67)*IF(ttAmountUnit="Paise",1,100),REPT("0",23))&amp;INDEX(Entries!$D$5:$D$104,$C67)&amp;"0"&amp;TEXT(ttValueDate,"ddmmyyyy")&amp;REPT(" ",26)&amp;LEFT(SUBSTITUTE(SUBSTITUTE(SUBSTITUTE(SUBSTITUTE(SUBSTITUTE(SUBSTITUTE(INDEX(Entries!$F$5:$F$104,$C67),"{DDMMYYYY}",TEXT(ttValueDate,"ddmmyyyy")),"{DDMMYY}",TEXT(ttValueDate,"ddmmyy")),"{YYYY}",TEXT(ttValueDate,"yyyy")),"{DD}",TEXT(ttValueDate,"dd")),"{MM}",TEXT(ttValueDate,"mm")),"{YY}",TEXT(ttValueDate,"yy"))&amp;REPT(" ",35),35)&amp;REPT(" ",70))</f>
        <v/>
      </c>
      <c r="B67" s="42">
        <f>IF($A67="","",LEN($A67))</f>
        <v/>
      </c>
      <c r="C67" s="43">
        <f>IFERROR(MATCH(59,Entries!$I$5:$I$104,0),"")</f>
        <v/>
      </c>
    </row>
    <row r="68">
      <c r="A68" s="41">
        <f>IF($C68="","",LEFT(INDEX(Entries!$C$5:$C$104,$C68)&amp;REPT(" ",14),14)&amp;TEXT(ttValueDate,"ddmmyyyy")&amp;TEXT(INDEX(Entries!$E$5:$E$104,$C68)*IF(ttAmountUnit="Paise",1,100),REPT("0",23))&amp;INDEX(Entries!$D$5:$D$104,$C68)&amp;"0"&amp;TEXT(ttValueDate,"ddmmyyyy")&amp;REPT(" ",26)&amp;LEFT(SUBSTITUTE(SUBSTITUTE(SUBSTITUTE(SUBSTITUTE(SUBSTITUTE(SUBSTITUTE(INDEX(Entries!$F$5:$F$104,$C68),"{DDMMYYYY}",TEXT(ttValueDate,"ddmmyyyy")),"{DDMMYY}",TEXT(ttValueDate,"ddmmyy")),"{YYYY}",TEXT(ttValueDate,"yyyy")),"{DD}",TEXT(ttValueDate,"dd")),"{MM}",TEXT(ttValueDate,"mm")),"{YY}",TEXT(ttValueDate,"yy"))&amp;REPT(" ",35),35)&amp;REPT(" ",70))</f>
        <v/>
      </c>
      <c r="B68" s="42">
        <f>IF($A68="","",LEN($A68))</f>
        <v/>
      </c>
      <c r="C68" s="43">
        <f>IFERROR(MATCH(60,Entries!$I$5:$I$104,0),"")</f>
        <v/>
      </c>
    </row>
    <row r="69">
      <c r="A69" s="41">
        <f>IF($C69="","",LEFT(INDEX(Entries!$C$5:$C$104,$C69)&amp;REPT(" ",14),14)&amp;TEXT(ttValueDate,"ddmmyyyy")&amp;TEXT(INDEX(Entries!$E$5:$E$104,$C69)*IF(ttAmountUnit="Paise",1,100),REPT("0",23))&amp;INDEX(Entries!$D$5:$D$104,$C69)&amp;"0"&amp;TEXT(ttValueDate,"ddmmyyyy")&amp;REPT(" ",26)&amp;LEFT(SUBSTITUTE(SUBSTITUTE(SUBSTITUTE(SUBSTITUTE(SUBSTITUTE(SUBSTITUTE(INDEX(Entries!$F$5:$F$104,$C69),"{DDMMYYYY}",TEXT(ttValueDate,"ddmmyyyy")),"{DDMMYY}",TEXT(ttValueDate,"ddmmyy")),"{YYYY}",TEXT(ttValueDate,"yyyy")),"{DD}",TEXT(ttValueDate,"dd")),"{MM}",TEXT(ttValueDate,"mm")),"{YY}",TEXT(ttValueDate,"yy"))&amp;REPT(" ",35),35)&amp;REPT(" ",70))</f>
        <v/>
      </c>
      <c r="B69" s="42">
        <f>IF($A69="","",LEN($A69))</f>
        <v/>
      </c>
      <c r="C69" s="43">
        <f>IFERROR(MATCH(61,Entries!$I$5:$I$104,0),"")</f>
        <v/>
      </c>
    </row>
    <row r="70">
      <c r="A70" s="41">
        <f>IF($C70="","",LEFT(INDEX(Entries!$C$5:$C$104,$C70)&amp;REPT(" ",14),14)&amp;TEXT(ttValueDate,"ddmmyyyy")&amp;TEXT(INDEX(Entries!$E$5:$E$104,$C70)*IF(ttAmountUnit="Paise",1,100),REPT("0",23))&amp;INDEX(Entries!$D$5:$D$104,$C70)&amp;"0"&amp;TEXT(ttValueDate,"ddmmyyyy")&amp;REPT(" ",26)&amp;LEFT(SUBSTITUTE(SUBSTITUTE(SUBSTITUTE(SUBSTITUTE(SUBSTITUTE(SUBSTITUTE(INDEX(Entries!$F$5:$F$104,$C70),"{DDMMYYYY}",TEXT(ttValueDate,"ddmmyyyy")),"{DDMMYY}",TEXT(ttValueDate,"ddmmyy")),"{YYYY}",TEXT(ttValueDate,"yyyy")),"{DD}",TEXT(ttValueDate,"dd")),"{MM}",TEXT(ttValueDate,"mm")),"{YY}",TEXT(ttValueDate,"yy"))&amp;REPT(" ",35),35)&amp;REPT(" ",70))</f>
        <v/>
      </c>
      <c r="B70" s="42">
        <f>IF($A70="","",LEN($A70))</f>
        <v/>
      </c>
      <c r="C70" s="43">
        <f>IFERROR(MATCH(62,Entries!$I$5:$I$104,0),"")</f>
        <v/>
      </c>
    </row>
    <row r="71">
      <c r="A71" s="41">
        <f>IF($C71="","",LEFT(INDEX(Entries!$C$5:$C$104,$C71)&amp;REPT(" ",14),14)&amp;TEXT(ttValueDate,"ddmmyyyy")&amp;TEXT(INDEX(Entries!$E$5:$E$104,$C71)*IF(ttAmountUnit="Paise",1,100),REPT("0",23))&amp;INDEX(Entries!$D$5:$D$104,$C71)&amp;"0"&amp;TEXT(ttValueDate,"ddmmyyyy")&amp;REPT(" ",26)&amp;LEFT(SUBSTITUTE(SUBSTITUTE(SUBSTITUTE(SUBSTITUTE(SUBSTITUTE(SUBSTITUTE(INDEX(Entries!$F$5:$F$104,$C71),"{DDMMYYYY}",TEXT(ttValueDate,"ddmmyyyy")),"{DDMMYY}",TEXT(ttValueDate,"ddmmyy")),"{YYYY}",TEXT(ttValueDate,"yyyy")),"{DD}",TEXT(ttValueDate,"dd")),"{MM}",TEXT(ttValueDate,"mm")),"{YY}",TEXT(ttValueDate,"yy"))&amp;REPT(" ",35),35)&amp;REPT(" ",70))</f>
        <v/>
      </c>
      <c r="B71" s="42">
        <f>IF($A71="","",LEN($A71))</f>
        <v/>
      </c>
      <c r="C71" s="43">
        <f>IFERROR(MATCH(63,Entries!$I$5:$I$104,0),"")</f>
        <v/>
      </c>
    </row>
    <row r="72">
      <c r="A72" s="41">
        <f>IF($C72="","",LEFT(INDEX(Entries!$C$5:$C$104,$C72)&amp;REPT(" ",14),14)&amp;TEXT(ttValueDate,"ddmmyyyy")&amp;TEXT(INDEX(Entries!$E$5:$E$104,$C72)*IF(ttAmountUnit="Paise",1,100),REPT("0",23))&amp;INDEX(Entries!$D$5:$D$104,$C72)&amp;"0"&amp;TEXT(ttValueDate,"ddmmyyyy")&amp;REPT(" ",26)&amp;LEFT(SUBSTITUTE(SUBSTITUTE(SUBSTITUTE(SUBSTITUTE(SUBSTITUTE(SUBSTITUTE(INDEX(Entries!$F$5:$F$104,$C72),"{DDMMYYYY}",TEXT(ttValueDate,"ddmmyyyy")),"{DDMMYY}",TEXT(ttValueDate,"ddmmyy")),"{YYYY}",TEXT(ttValueDate,"yyyy")),"{DD}",TEXT(ttValueDate,"dd")),"{MM}",TEXT(ttValueDate,"mm")),"{YY}",TEXT(ttValueDate,"yy"))&amp;REPT(" ",35),35)&amp;REPT(" ",70))</f>
        <v/>
      </c>
      <c r="B72" s="42">
        <f>IF($A72="","",LEN($A72))</f>
        <v/>
      </c>
      <c r="C72" s="43">
        <f>IFERROR(MATCH(64,Entries!$I$5:$I$104,0),"")</f>
        <v/>
      </c>
    </row>
    <row r="73">
      <c r="A73" s="41">
        <f>IF($C73="","",LEFT(INDEX(Entries!$C$5:$C$104,$C73)&amp;REPT(" ",14),14)&amp;TEXT(ttValueDate,"ddmmyyyy")&amp;TEXT(INDEX(Entries!$E$5:$E$104,$C73)*IF(ttAmountUnit="Paise",1,100),REPT("0",23))&amp;INDEX(Entries!$D$5:$D$104,$C73)&amp;"0"&amp;TEXT(ttValueDate,"ddmmyyyy")&amp;REPT(" ",26)&amp;LEFT(SUBSTITUTE(SUBSTITUTE(SUBSTITUTE(SUBSTITUTE(SUBSTITUTE(SUBSTITUTE(INDEX(Entries!$F$5:$F$104,$C73),"{DDMMYYYY}",TEXT(ttValueDate,"ddmmyyyy")),"{DDMMYY}",TEXT(ttValueDate,"ddmmyy")),"{YYYY}",TEXT(ttValueDate,"yyyy")),"{DD}",TEXT(ttValueDate,"dd")),"{MM}",TEXT(ttValueDate,"mm")),"{YY}",TEXT(ttValueDate,"yy"))&amp;REPT(" ",35),35)&amp;REPT(" ",70))</f>
        <v/>
      </c>
      <c r="B73" s="42">
        <f>IF($A73="","",LEN($A73))</f>
        <v/>
      </c>
      <c r="C73" s="43">
        <f>IFERROR(MATCH(65,Entries!$I$5:$I$104,0),"")</f>
        <v/>
      </c>
    </row>
    <row r="74">
      <c r="A74" s="41">
        <f>IF($C74="","",LEFT(INDEX(Entries!$C$5:$C$104,$C74)&amp;REPT(" ",14),14)&amp;TEXT(ttValueDate,"ddmmyyyy")&amp;TEXT(INDEX(Entries!$E$5:$E$104,$C74)*IF(ttAmountUnit="Paise",1,100),REPT("0",23))&amp;INDEX(Entries!$D$5:$D$104,$C74)&amp;"0"&amp;TEXT(ttValueDate,"ddmmyyyy")&amp;REPT(" ",26)&amp;LEFT(SUBSTITUTE(SUBSTITUTE(SUBSTITUTE(SUBSTITUTE(SUBSTITUTE(SUBSTITUTE(INDEX(Entries!$F$5:$F$104,$C74),"{DDMMYYYY}",TEXT(ttValueDate,"ddmmyyyy")),"{DDMMYY}",TEXT(ttValueDate,"ddmmyy")),"{YYYY}",TEXT(ttValueDate,"yyyy")),"{DD}",TEXT(ttValueDate,"dd")),"{MM}",TEXT(ttValueDate,"mm")),"{YY}",TEXT(ttValueDate,"yy"))&amp;REPT(" ",35),35)&amp;REPT(" ",70))</f>
        <v/>
      </c>
      <c r="B74" s="42">
        <f>IF($A74="","",LEN($A74))</f>
        <v/>
      </c>
      <c r="C74" s="43">
        <f>IFERROR(MATCH(66,Entries!$I$5:$I$104,0),"")</f>
        <v/>
      </c>
    </row>
    <row r="75">
      <c r="A75" s="41">
        <f>IF($C75="","",LEFT(INDEX(Entries!$C$5:$C$104,$C75)&amp;REPT(" ",14),14)&amp;TEXT(ttValueDate,"ddmmyyyy")&amp;TEXT(INDEX(Entries!$E$5:$E$104,$C75)*IF(ttAmountUnit="Paise",1,100),REPT("0",23))&amp;INDEX(Entries!$D$5:$D$104,$C75)&amp;"0"&amp;TEXT(ttValueDate,"ddmmyyyy")&amp;REPT(" ",26)&amp;LEFT(SUBSTITUTE(SUBSTITUTE(SUBSTITUTE(SUBSTITUTE(SUBSTITUTE(SUBSTITUTE(INDEX(Entries!$F$5:$F$104,$C75),"{DDMMYYYY}",TEXT(ttValueDate,"ddmmyyyy")),"{DDMMYY}",TEXT(ttValueDate,"ddmmyy")),"{YYYY}",TEXT(ttValueDate,"yyyy")),"{DD}",TEXT(ttValueDate,"dd")),"{MM}",TEXT(ttValueDate,"mm")),"{YY}",TEXT(ttValueDate,"yy"))&amp;REPT(" ",35),35)&amp;REPT(" ",70))</f>
        <v/>
      </c>
      <c r="B75" s="42">
        <f>IF($A75="","",LEN($A75))</f>
        <v/>
      </c>
      <c r="C75" s="43">
        <f>IFERROR(MATCH(67,Entries!$I$5:$I$104,0),"")</f>
        <v/>
      </c>
    </row>
    <row r="76">
      <c r="A76" s="41">
        <f>IF($C76="","",LEFT(INDEX(Entries!$C$5:$C$104,$C76)&amp;REPT(" ",14),14)&amp;TEXT(ttValueDate,"ddmmyyyy")&amp;TEXT(INDEX(Entries!$E$5:$E$104,$C76)*IF(ttAmountUnit="Paise",1,100),REPT("0",23))&amp;INDEX(Entries!$D$5:$D$104,$C76)&amp;"0"&amp;TEXT(ttValueDate,"ddmmyyyy")&amp;REPT(" ",26)&amp;LEFT(SUBSTITUTE(SUBSTITUTE(SUBSTITUTE(SUBSTITUTE(SUBSTITUTE(SUBSTITUTE(INDEX(Entries!$F$5:$F$104,$C76),"{DDMMYYYY}",TEXT(ttValueDate,"ddmmyyyy")),"{DDMMYY}",TEXT(ttValueDate,"ddmmyy")),"{YYYY}",TEXT(ttValueDate,"yyyy")),"{DD}",TEXT(ttValueDate,"dd")),"{MM}",TEXT(ttValueDate,"mm")),"{YY}",TEXT(ttValueDate,"yy"))&amp;REPT(" ",35),35)&amp;REPT(" ",70))</f>
        <v/>
      </c>
      <c r="B76" s="42">
        <f>IF($A76="","",LEN($A76))</f>
        <v/>
      </c>
      <c r="C76" s="43">
        <f>IFERROR(MATCH(68,Entries!$I$5:$I$104,0),"")</f>
        <v/>
      </c>
    </row>
    <row r="77">
      <c r="A77" s="41">
        <f>IF($C77="","",LEFT(INDEX(Entries!$C$5:$C$104,$C77)&amp;REPT(" ",14),14)&amp;TEXT(ttValueDate,"ddmmyyyy")&amp;TEXT(INDEX(Entries!$E$5:$E$104,$C77)*IF(ttAmountUnit="Paise",1,100),REPT("0",23))&amp;INDEX(Entries!$D$5:$D$104,$C77)&amp;"0"&amp;TEXT(ttValueDate,"ddmmyyyy")&amp;REPT(" ",26)&amp;LEFT(SUBSTITUTE(SUBSTITUTE(SUBSTITUTE(SUBSTITUTE(SUBSTITUTE(SUBSTITUTE(INDEX(Entries!$F$5:$F$104,$C77),"{DDMMYYYY}",TEXT(ttValueDate,"ddmmyyyy")),"{DDMMYY}",TEXT(ttValueDate,"ddmmyy")),"{YYYY}",TEXT(ttValueDate,"yyyy")),"{DD}",TEXT(ttValueDate,"dd")),"{MM}",TEXT(ttValueDate,"mm")),"{YY}",TEXT(ttValueDate,"yy"))&amp;REPT(" ",35),35)&amp;REPT(" ",70))</f>
        <v/>
      </c>
      <c r="B77" s="42">
        <f>IF($A77="","",LEN($A77))</f>
        <v/>
      </c>
      <c r="C77" s="43">
        <f>IFERROR(MATCH(69,Entries!$I$5:$I$104,0),"")</f>
        <v/>
      </c>
    </row>
    <row r="78">
      <c r="A78" s="41">
        <f>IF($C78="","",LEFT(INDEX(Entries!$C$5:$C$104,$C78)&amp;REPT(" ",14),14)&amp;TEXT(ttValueDate,"ddmmyyyy")&amp;TEXT(INDEX(Entries!$E$5:$E$104,$C78)*IF(ttAmountUnit="Paise",1,100),REPT("0",23))&amp;INDEX(Entries!$D$5:$D$104,$C78)&amp;"0"&amp;TEXT(ttValueDate,"ddmmyyyy")&amp;REPT(" ",26)&amp;LEFT(SUBSTITUTE(SUBSTITUTE(SUBSTITUTE(SUBSTITUTE(SUBSTITUTE(SUBSTITUTE(INDEX(Entries!$F$5:$F$104,$C78),"{DDMMYYYY}",TEXT(ttValueDate,"ddmmyyyy")),"{DDMMYY}",TEXT(ttValueDate,"ddmmyy")),"{YYYY}",TEXT(ttValueDate,"yyyy")),"{DD}",TEXT(ttValueDate,"dd")),"{MM}",TEXT(ttValueDate,"mm")),"{YY}",TEXT(ttValueDate,"yy"))&amp;REPT(" ",35),35)&amp;REPT(" ",70))</f>
        <v/>
      </c>
      <c r="B78" s="42">
        <f>IF($A78="","",LEN($A78))</f>
        <v/>
      </c>
      <c r="C78" s="43">
        <f>IFERROR(MATCH(70,Entries!$I$5:$I$104,0),"")</f>
        <v/>
      </c>
    </row>
    <row r="79">
      <c r="A79" s="41">
        <f>IF($C79="","",LEFT(INDEX(Entries!$C$5:$C$104,$C79)&amp;REPT(" ",14),14)&amp;TEXT(ttValueDate,"ddmmyyyy")&amp;TEXT(INDEX(Entries!$E$5:$E$104,$C79)*IF(ttAmountUnit="Paise",1,100),REPT("0",23))&amp;INDEX(Entries!$D$5:$D$104,$C79)&amp;"0"&amp;TEXT(ttValueDate,"ddmmyyyy")&amp;REPT(" ",26)&amp;LEFT(SUBSTITUTE(SUBSTITUTE(SUBSTITUTE(SUBSTITUTE(SUBSTITUTE(SUBSTITUTE(INDEX(Entries!$F$5:$F$104,$C79),"{DDMMYYYY}",TEXT(ttValueDate,"ddmmyyyy")),"{DDMMYY}",TEXT(ttValueDate,"ddmmyy")),"{YYYY}",TEXT(ttValueDate,"yyyy")),"{DD}",TEXT(ttValueDate,"dd")),"{MM}",TEXT(ttValueDate,"mm")),"{YY}",TEXT(ttValueDate,"yy"))&amp;REPT(" ",35),35)&amp;REPT(" ",70))</f>
        <v/>
      </c>
      <c r="B79" s="42">
        <f>IF($A79="","",LEN($A79))</f>
        <v/>
      </c>
      <c r="C79" s="43">
        <f>IFERROR(MATCH(71,Entries!$I$5:$I$104,0),"")</f>
        <v/>
      </c>
    </row>
    <row r="80">
      <c r="A80" s="41">
        <f>IF($C80="","",LEFT(INDEX(Entries!$C$5:$C$104,$C80)&amp;REPT(" ",14),14)&amp;TEXT(ttValueDate,"ddmmyyyy")&amp;TEXT(INDEX(Entries!$E$5:$E$104,$C80)*IF(ttAmountUnit="Paise",1,100),REPT("0",23))&amp;INDEX(Entries!$D$5:$D$104,$C80)&amp;"0"&amp;TEXT(ttValueDate,"ddmmyyyy")&amp;REPT(" ",26)&amp;LEFT(SUBSTITUTE(SUBSTITUTE(SUBSTITUTE(SUBSTITUTE(SUBSTITUTE(SUBSTITUTE(INDEX(Entries!$F$5:$F$104,$C80),"{DDMMYYYY}",TEXT(ttValueDate,"ddmmyyyy")),"{DDMMYY}",TEXT(ttValueDate,"ddmmyy")),"{YYYY}",TEXT(ttValueDate,"yyyy")),"{DD}",TEXT(ttValueDate,"dd")),"{MM}",TEXT(ttValueDate,"mm")),"{YY}",TEXT(ttValueDate,"yy"))&amp;REPT(" ",35),35)&amp;REPT(" ",70))</f>
        <v/>
      </c>
      <c r="B80" s="42">
        <f>IF($A80="","",LEN($A80))</f>
        <v/>
      </c>
      <c r="C80" s="43">
        <f>IFERROR(MATCH(72,Entries!$I$5:$I$104,0),"")</f>
        <v/>
      </c>
    </row>
    <row r="81">
      <c r="A81" s="41">
        <f>IF($C81="","",LEFT(INDEX(Entries!$C$5:$C$104,$C81)&amp;REPT(" ",14),14)&amp;TEXT(ttValueDate,"ddmmyyyy")&amp;TEXT(INDEX(Entries!$E$5:$E$104,$C81)*IF(ttAmountUnit="Paise",1,100),REPT("0",23))&amp;INDEX(Entries!$D$5:$D$104,$C81)&amp;"0"&amp;TEXT(ttValueDate,"ddmmyyyy")&amp;REPT(" ",26)&amp;LEFT(SUBSTITUTE(SUBSTITUTE(SUBSTITUTE(SUBSTITUTE(SUBSTITUTE(SUBSTITUTE(INDEX(Entries!$F$5:$F$104,$C81),"{DDMMYYYY}",TEXT(ttValueDate,"ddmmyyyy")),"{DDMMYY}",TEXT(ttValueDate,"ddmmyy")),"{YYYY}",TEXT(ttValueDate,"yyyy")),"{DD}",TEXT(ttValueDate,"dd")),"{MM}",TEXT(ttValueDate,"mm")),"{YY}",TEXT(ttValueDate,"yy"))&amp;REPT(" ",35),35)&amp;REPT(" ",70))</f>
        <v/>
      </c>
      <c r="B81" s="42">
        <f>IF($A81="","",LEN($A81))</f>
        <v/>
      </c>
      <c r="C81" s="43">
        <f>IFERROR(MATCH(73,Entries!$I$5:$I$104,0),"")</f>
        <v/>
      </c>
    </row>
    <row r="82">
      <c r="A82" s="41">
        <f>IF($C82="","",LEFT(INDEX(Entries!$C$5:$C$104,$C82)&amp;REPT(" ",14),14)&amp;TEXT(ttValueDate,"ddmmyyyy")&amp;TEXT(INDEX(Entries!$E$5:$E$104,$C82)*IF(ttAmountUnit="Paise",1,100),REPT("0",23))&amp;INDEX(Entries!$D$5:$D$104,$C82)&amp;"0"&amp;TEXT(ttValueDate,"ddmmyyyy")&amp;REPT(" ",26)&amp;LEFT(SUBSTITUTE(SUBSTITUTE(SUBSTITUTE(SUBSTITUTE(SUBSTITUTE(SUBSTITUTE(INDEX(Entries!$F$5:$F$104,$C82),"{DDMMYYYY}",TEXT(ttValueDate,"ddmmyyyy")),"{DDMMYY}",TEXT(ttValueDate,"ddmmyy")),"{YYYY}",TEXT(ttValueDate,"yyyy")),"{DD}",TEXT(ttValueDate,"dd")),"{MM}",TEXT(ttValueDate,"mm")),"{YY}",TEXT(ttValueDate,"yy"))&amp;REPT(" ",35),35)&amp;REPT(" ",70))</f>
        <v/>
      </c>
      <c r="B82" s="42">
        <f>IF($A82="","",LEN($A82))</f>
        <v/>
      </c>
      <c r="C82" s="43">
        <f>IFERROR(MATCH(74,Entries!$I$5:$I$104,0),"")</f>
        <v/>
      </c>
    </row>
    <row r="83">
      <c r="A83" s="41">
        <f>IF($C83="","",LEFT(INDEX(Entries!$C$5:$C$104,$C83)&amp;REPT(" ",14),14)&amp;TEXT(ttValueDate,"ddmmyyyy")&amp;TEXT(INDEX(Entries!$E$5:$E$104,$C83)*IF(ttAmountUnit="Paise",1,100),REPT("0",23))&amp;INDEX(Entries!$D$5:$D$104,$C83)&amp;"0"&amp;TEXT(ttValueDate,"ddmmyyyy")&amp;REPT(" ",26)&amp;LEFT(SUBSTITUTE(SUBSTITUTE(SUBSTITUTE(SUBSTITUTE(SUBSTITUTE(SUBSTITUTE(INDEX(Entries!$F$5:$F$104,$C83),"{DDMMYYYY}",TEXT(ttValueDate,"ddmmyyyy")),"{DDMMYY}",TEXT(ttValueDate,"ddmmyy")),"{YYYY}",TEXT(ttValueDate,"yyyy")),"{DD}",TEXT(ttValueDate,"dd")),"{MM}",TEXT(ttValueDate,"mm")),"{YY}",TEXT(ttValueDate,"yy"))&amp;REPT(" ",35),35)&amp;REPT(" ",70))</f>
        <v/>
      </c>
      <c r="B83" s="42">
        <f>IF($A83="","",LEN($A83))</f>
        <v/>
      </c>
      <c r="C83" s="43">
        <f>IFERROR(MATCH(75,Entries!$I$5:$I$104,0),"")</f>
        <v/>
      </c>
    </row>
    <row r="84">
      <c r="A84" s="41">
        <f>IF($C84="","",LEFT(INDEX(Entries!$C$5:$C$104,$C84)&amp;REPT(" ",14),14)&amp;TEXT(ttValueDate,"ddmmyyyy")&amp;TEXT(INDEX(Entries!$E$5:$E$104,$C84)*IF(ttAmountUnit="Paise",1,100),REPT("0",23))&amp;INDEX(Entries!$D$5:$D$104,$C84)&amp;"0"&amp;TEXT(ttValueDate,"ddmmyyyy")&amp;REPT(" ",26)&amp;LEFT(SUBSTITUTE(SUBSTITUTE(SUBSTITUTE(SUBSTITUTE(SUBSTITUTE(SUBSTITUTE(INDEX(Entries!$F$5:$F$104,$C84),"{DDMMYYYY}",TEXT(ttValueDate,"ddmmyyyy")),"{DDMMYY}",TEXT(ttValueDate,"ddmmyy")),"{YYYY}",TEXT(ttValueDate,"yyyy")),"{DD}",TEXT(ttValueDate,"dd")),"{MM}",TEXT(ttValueDate,"mm")),"{YY}",TEXT(ttValueDate,"yy"))&amp;REPT(" ",35),35)&amp;REPT(" ",70))</f>
        <v/>
      </c>
      <c r="B84" s="42">
        <f>IF($A84="","",LEN($A84))</f>
        <v/>
      </c>
      <c r="C84" s="43">
        <f>IFERROR(MATCH(76,Entries!$I$5:$I$104,0),"")</f>
        <v/>
      </c>
    </row>
    <row r="85">
      <c r="A85" s="41">
        <f>IF($C85="","",LEFT(INDEX(Entries!$C$5:$C$104,$C85)&amp;REPT(" ",14),14)&amp;TEXT(ttValueDate,"ddmmyyyy")&amp;TEXT(INDEX(Entries!$E$5:$E$104,$C85)*IF(ttAmountUnit="Paise",1,100),REPT("0",23))&amp;INDEX(Entries!$D$5:$D$104,$C85)&amp;"0"&amp;TEXT(ttValueDate,"ddmmyyyy")&amp;REPT(" ",26)&amp;LEFT(SUBSTITUTE(SUBSTITUTE(SUBSTITUTE(SUBSTITUTE(SUBSTITUTE(SUBSTITUTE(INDEX(Entries!$F$5:$F$104,$C85),"{DDMMYYYY}",TEXT(ttValueDate,"ddmmyyyy")),"{DDMMYY}",TEXT(ttValueDate,"ddmmyy")),"{YYYY}",TEXT(ttValueDate,"yyyy")),"{DD}",TEXT(ttValueDate,"dd")),"{MM}",TEXT(ttValueDate,"mm")),"{YY}",TEXT(ttValueDate,"yy"))&amp;REPT(" ",35),35)&amp;REPT(" ",70))</f>
        <v/>
      </c>
      <c r="B85" s="42">
        <f>IF($A85="","",LEN($A85))</f>
        <v/>
      </c>
      <c r="C85" s="43">
        <f>IFERROR(MATCH(77,Entries!$I$5:$I$104,0),"")</f>
        <v/>
      </c>
    </row>
    <row r="86">
      <c r="A86" s="41">
        <f>IF($C86="","",LEFT(INDEX(Entries!$C$5:$C$104,$C86)&amp;REPT(" ",14),14)&amp;TEXT(ttValueDate,"ddmmyyyy")&amp;TEXT(INDEX(Entries!$E$5:$E$104,$C86)*IF(ttAmountUnit="Paise",1,100),REPT("0",23))&amp;INDEX(Entries!$D$5:$D$104,$C86)&amp;"0"&amp;TEXT(ttValueDate,"ddmmyyyy")&amp;REPT(" ",26)&amp;LEFT(SUBSTITUTE(SUBSTITUTE(SUBSTITUTE(SUBSTITUTE(SUBSTITUTE(SUBSTITUTE(INDEX(Entries!$F$5:$F$104,$C86),"{DDMMYYYY}",TEXT(ttValueDate,"ddmmyyyy")),"{DDMMYY}",TEXT(ttValueDate,"ddmmyy")),"{YYYY}",TEXT(ttValueDate,"yyyy")),"{DD}",TEXT(ttValueDate,"dd")),"{MM}",TEXT(ttValueDate,"mm")),"{YY}",TEXT(ttValueDate,"yy"))&amp;REPT(" ",35),35)&amp;REPT(" ",70))</f>
        <v/>
      </c>
      <c r="B86" s="42">
        <f>IF($A86="","",LEN($A86))</f>
        <v/>
      </c>
      <c r="C86" s="43">
        <f>IFERROR(MATCH(78,Entries!$I$5:$I$104,0),"")</f>
        <v/>
      </c>
    </row>
    <row r="87">
      <c r="A87" s="41">
        <f>IF($C87="","",LEFT(INDEX(Entries!$C$5:$C$104,$C87)&amp;REPT(" ",14),14)&amp;TEXT(ttValueDate,"ddmmyyyy")&amp;TEXT(INDEX(Entries!$E$5:$E$104,$C87)*IF(ttAmountUnit="Paise",1,100),REPT("0",23))&amp;INDEX(Entries!$D$5:$D$104,$C87)&amp;"0"&amp;TEXT(ttValueDate,"ddmmyyyy")&amp;REPT(" ",26)&amp;LEFT(SUBSTITUTE(SUBSTITUTE(SUBSTITUTE(SUBSTITUTE(SUBSTITUTE(SUBSTITUTE(INDEX(Entries!$F$5:$F$104,$C87),"{DDMMYYYY}",TEXT(ttValueDate,"ddmmyyyy")),"{DDMMYY}",TEXT(ttValueDate,"ddmmyy")),"{YYYY}",TEXT(ttValueDate,"yyyy")),"{DD}",TEXT(ttValueDate,"dd")),"{MM}",TEXT(ttValueDate,"mm")),"{YY}",TEXT(ttValueDate,"yy"))&amp;REPT(" ",35),35)&amp;REPT(" ",70))</f>
        <v/>
      </c>
      <c r="B87" s="42">
        <f>IF($A87="","",LEN($A87))</f>
        <v/>
      </c>
      <c r="C87" s="43">
        <f>IFERROR(MATCH(79,Entries!$I$5:$I$104,0),"")</f>
        <v/>
      </c>
    </row>
    <row r="88">
      <c r="A88" s="41">
        <f>IF($C88="","",LEFT(INDEX(Entries!$C$5:$C$104,$C88)&amp;REPT(" ",14),14)&amp;TEXT(ttValueDate,"ddmmyyyy")&amp;TEXT(INDEX(Entries!$E$5:$E$104,$C88)*IF(ttAmountUnit="Paise",1,100),REPT("0",23))&amp;INDEX(Entries!$D$5:$D$104,$C88)&amp;"0"&amp;TEXT(ttValueDate,"ddmmyyyy")&amp;REPT(" ",26)&amp;LEFT(SUBSTITUTE(SUBSTITUTE(SUBSTITUTE(SUBSTITUTE(SUBSTITUTE(SUBSTITUTE(INDEX(Entries!$F$5:$F$104,$C88),"{DDMMYYYY}",TEXT(ttValueDate,"ddmmyyyy")),"{DDMMYY}",TEXT(ttValueDate,"ddmmyy")),"{YYYY}",TEXT(ttValueDate,"yyyy")),"{DD}",TEXT(ttValueDate,"dd")),"{MM}",TEXT(ttValueDate,"mm")),"{YY}",TEXT(ttValueDate,"yy"))&amp;REPT(" ",35),35)&amp;REPT(" ",70))</f>
        <v/>
      </c>
      <c r="B88" s="42">
        <f>IF($A88="","",LEN($A88))</f>
        <v/>
      </c>
      <c r="C88" s="43">
        <f>IFERROR(MATCH(80,Entries!$I$5:$I$104,0),"")</f>
        <v/>
      </c>
    </row>
    <row r="89">
      <c r="A89" s="41">
        <f>IF($C89="","",LEFT(INDEX(Entries!$C$5:$C$104,$C89)&amp;REPT(" ",14),14)&amp;TEXT(ttValueDate,"ddmmyyyy")&amp;TEXT(INDEX(Entries!$E$5:$E$104,$C89)*IF(ttAmountUnit="Paise",1,100),REPT("0",23))&amp;INDEX(Entries!$D$5:$D$104,$C89)&amp;"0"&amp;TEXT(ttValueDate,"ddmmyyyy")&amp;REPT(" ",26)&amp;LEFT(SUBSTITUTE(SUBSTITUTE(SUBSTITUTE(SUBSTITUTE(SUBSTITUTE(SUBSTITUTE(INDEX(Entries!$F$5:$F$104,$C89),"{DDMMYYYY}",TEXT(ttValueDate,"ddmmyyyy")),"{DDMMYY}",TEXT(ttValueDate,"ddmmyy")),"{YYYY}",TEXT(ttValueDate,"yyyy")),"{DD}",TEXT(ttValueDate,"dd")),"{MM}",TEXT(ttValueDate,"mm")),"{YY}",TEXT(ttValueDate,"yy"))&amp;REPT(" ",35),35)&amp;REPT(" ",70))</f>
        <v/>
      </c>
      <c r="B89" s="42">
        <f>IF($A89="","",LEN($A89))</f>
        <v/>
      </c>
      <c r="C89" s="43">
        <f>IFERROR(MATCH(81,Entries!$I$5:$I$104,0),"")</f>
        <v/>
      </c>
    </row>
    <row r="90">
      <c r="A90" s="41">
        <f>IF($C90="","",LEFT(INDEX(Entries!$C$5:$C$104,$C90)&amp;REPT(" ",14),14)&amp;TEXT(ttValueDate,"ddmmyyyy")&amp;TEXT(INDEX(Entries!$E$5:$E$104,$C90)*IF(ttAmountUnit="Paise",1,100),REPT("0",23))&amp;INDEX(Entries!$D$5:$D$104,$C90)&amp;"0"&amp;TEXT(ttValueDate,"ddmmyyyy")&amp;REPT(" ",26)&amp;LEFT(SUBSTITUTE(SUBSTITUTE(SUBSTITUTE(SUBSTITUTE(SUBSTITUTE(SUBSTITUTE(INDEX(Entries!$F$5:$F$104,$C90),"{DDMMYYYY}",TEXT(ttValueDate,"ddmmyyyy")),"{DDMMYY}",TEXT(ttValueDate,"ddmmyy")),"{YYYY}",TEXT(ttValueDate,"yyyy")),"{DD}",TEXT(ttValueDate,"dd")),"{MM}",TEXT(ttValueDate,"mm")),"{YY}",TEXT(ttValueDate,"yy"))&amp;REPT(" ",35),35)&amp;REPT(" ",70))</f>
        <v/>
      </c>
      <c r="B90" s="42">
        <f>IF($A90="","",LEN($A90))</f>
        <v/>
      </c>
      <c r="C90" s="43">
        <f>IFERROR(MATCH(82,Entries!$I$5:$I$104,0),"")</f>
        <v/>
      </c>
    </row>
    <row r="91">
      <c r="A91" s="41">
        <f>IF($C91="","",LEFT(INDEX(Entries!$C$5:$C$104,$C91)&amp;REPT(" ",14),14)&amp;TEXT(ttValueDate,"ddmmyyyy")&amp;TEXT(INDEX(Entries!$E$5:$E$104,$C91)*IF(ttAmountUnit="Paise",1,100),REPT("0",23))&amp;INDEX(Entries!$D$5:$D$104,$C91)&amp;"0"&amp;TEXT(ttValueDate,"ddmmyyyy")&amp;REPT(" ",26)&amp;LEFT(SUBSTITUTE(SUBSTITUTE(SUBSTITUTE(SUBSTITUTE(SUBSTITUTE(SUBSTITUTE(INDEX(Entries!$F$5:$F$104,$C91),"{DDMMYYYY}",TEXT(ttValueDate,"ddmmyyyy")),"{DDMMYY}",TEXT(ttValueDate,"ddmmyy")),"{YYYY}",TEXT(ttValueDate,"yyyy")),"{DD}",TEXT(ttValueDate,"dd")),"{MM}",TEXT(ttValueDate,"mm")),"{YY}",TEXT(ttValueDate,"yy"))&amp;REPT(" ",35),35)&amp;REPT(" ",70))</f>
        <v/>
      </c>
      <c r="B91" s="42">
        <f>IF($A91="","",LEN($A91))</f>
        <v/>
      </c>
      <c r="C91" s="43">
        <f>IFERROR(MATCH(83,Entries!$I$5:$I$104,0),"")</f>
        <v/>
      </c>
    </row>
    <row r="92">
      <c r="A92" s="41">
        <f>IF($C92="","",LEFT(INDEX(Entries!$C$5:$C$104,$C92)&amp;REPT(" ",14),14)&amp;TEXT(ttValueDate,"ddmmyyyy")&amp;TEXT(INDEX(Entries!$E$5:$E$104,$C92)*IF(ttAmountUnit="Paise",1,100),REPT("0",23))&amp;INDEX(Entries!$D$5:$D$104,$C92)&amp;"0"&amp;TEXT(ttValueDate,"ddmmyyyy")&amp;REPT(" ",26)&amp;LEFT(SUBSTITUTE(SUBSTITUTE(SUBSTITUTE(SUBSTITUTE(SUBSTITUTE(SUBSTITUTE(INDEX(Entries!$F$5:$F$104,$C92),"{DDMMYYYY}",TEXT(ttValueDate,"ddmmyyyy")),"{DDMMYY}",TEXT(ttValueDate,"ddmmyy")),"{YYYY}",TEXT(ttValueDate,"yyyy")),"{DD}",TEXT(ttValueDate,"dd")),"{MM}",TEXT(ttValueDate,"mm")),"{YY}",TEXT(ttValueDate,"yy"))&amp;REPT(" ",35),35)&amp;REPT(" ",70))</f>
        <v/>
      </c>
      <c r="B92" s="42">
        <f>IF($A92="","",LEN($A92))</f>
        <v/>
      </c>
      <c r="C92" s="43">
        <f>IFERROR(MATCH(84,Entries!$I$5:$I$104,0),"")</f>
        <v/>
      </c>
    </row>
    <row r="93">
      <c r="A93" s="41">
        <f>IF($C93="","",LEFT(INDEX(Entries!$C$5:$C$104,$C93)&amp;REPT(" ",14),14)&amp;TEXT(ttValueDate,"ddmmyyyy")&amp;TEXT(INDEX(Entries!$E$5:$E$104,$C93)*IF(ttAmountUnit="Paise",1,100),REPT("0",23))&amp;INDEX(Entries!$D$5:$D$104,$C93)&amp;"0"&amp;TEXT(ttValueDate,"ddmmyyyy")&amp;REPT(" ",26)&amp;LEFT(SUBSTITUTE(SUBSTITUTE(SUBSTITUTE(SUBSTITUTE(SUBSTITUTE(SUBSTITUTE(INDEX(Entries!$F$5:$F$104,$C93),"{DDMMYYYY}",TEXT(ttValueDate,"ddmmyyyy")),"{DDMMYY}",TEXT(ttValueDate,"ddmmyy")),"{YYYY}",TEXT(ttValueDate,"yyyy")),"{DD}",TEXT(ttValueDate,"dd")),"{MM}",TEXT(ttValueDate,"mm")),"{YY}",TEXT(ttValueDate,"yy"))&amp;REPT(" ",35),35)&amp;REPT(" ",70))</f>
        <v/>
      </c>
      <c r="B93" s="42">
        <f>IF($A93="","",LEN($A93))</f>
        <v/>
      </c>
      <c r="C93" s="43">
        <f>IFERROR(MATCH(85,Entries!$I$5:$I$104,0),"")</f>
        <v/>
      </c>
    </row>
    <row r="94">
      <c r="A94" s="41">
        <f>IF($C94="","",LEFT(INDEX(Entries!$C$5:$C$104,$C94)&amp;REPT(" ",14),14)&amp;TEXT(ttValueDate,"ddmmyyyy")&amp;TEXT(INDEX(Entries!$E$5:$E$104,$C94)*IF(ttAmountUnit="Paise",1,100),REPT("0",23))&amp;INDEX(Entries!$D$5:$D$104,$C94)&amp;"0"&amp;TEXT(ttValueDate,"ddmmyyyy")&amp;REPT(" ",26)&amp;LEFT(SUBSTITUTE(SUBSTITUTE(SUBSTITUTE(SUBSTITUTE(SUBSTITUTE(SUBSTITUTE(INDEX(Entries!$F$5:$F$104,$C94),"{DDMMYYYY}",TEXT(ttValueDate,"ddmmyyyy")),"{DDMMYY}",TEXT(ttValueDate,"ddmmyy")),"{YYYY}",TEXT(ttValueDate,"yyyy")),"{DD}",TEXT(ttValueDate,"dd")),"{MM}",TEXT(ttValueDate,"mm")),"{YY}",TEXT(ttValueDate,"yy"))&amp;REPT(" ",35),35)&amp;REPT(" ",70))</f>
        <v/>
      </c>
      <c r="B94" s="42">
        <f>IF($A94="","",LEN($A94))</f>
        <v/>
      </c>
      <c r="C94" s="43">
        <f>IFERROR(MATCH(86,Entries!$I$5:$I$104,0),"")</f>
        <v/>
      </c>
    </row>
    <row r="95">
      <c r="A95" s="41">
        <f>IF($C95="","",LEFT(INDEX(Entries!$C$5:$C$104,$C95)&amp;REPT(" ",14),14)&amp;TEXT(ttValueDate,"ddmmyyyy")&amp;TEXT(INDEX(Entries!$E$5:$E$104,$C95)*IF(ttAmountUnit="Paise",1,100),REPT("0",23))&amp;INDEX(Entries!$D$5:$D$104,$C95)&amp;"0"&amp;TEXT(ttValueDate,"ddmmyyyy")&amp;REPT(" ",26)&amp;LEFT(SUBSTITUTE(SUBSTITUTE(SUBSTITUTE(SUBSTITUTE(SUBSTITUTE(SUBSTITUTE(INDEX(Entries!$F$5:$F$104,$C95),"{DDMMYYYY}",TEXT(ttValueDate,"ddmmyyyy")),"{DDMMYY}",TEXT(ttValueDate,"ddmmyy")),"{YYYY}",TEXT(ttValueDate,"yyyy")),"{DD}",TEXT(ttValueDate,"dd")),"{MM}",TEXT(ttValueDate,"mm")),"{YY}",TEXT(ttValueDate,"yy"))&amp;REPT(" ",35),35)&amp;REPT(" ",70))</f>
        <v/>
      </c>
      <c r="B95" s="42">
        <f>IF($A95="","",LEN($A95))</f>
        <v/>
      </c>
      <c r="C95" s="43">
        <f>IFERROR(MATCH(87,Entries!$I$5:$I$104,0),"")</f>
        <v/>
      </c>
    </row>
    <row r="96">
      <c r="A96" s="41">
        <f>IF($C96="","",LEFT(INDEX(Entries!$C$5:$C$104,$C96)&amp;REPT(" ",14),14)&amp;TEXT(ttValueDate,"ddmmyyyy")&amp;TEXT(INDEX(Entries!$E$5:$E$104,$C96)*IF(ttAmountUnit="Paise",1,100),REPT("0",23))&amp;INDEX(Entries!$D$5:$D$104,$C96)&amp;"0"&amp;TEXT(ttValueDate,"ddmmyyyy")&amp;REPT(" ",26)&amp;LEFT(SUBSTITUTE(SUBSTITUTE(SUBSTITUTE(SUBSTITUTE(SUBSTITUTE(SUBSTITUTE(INDEX(Entries!$F$5:$F$104,$C96),"{DDMMYYYY}",TEXT(ttValueDate,"ddmmyyyy")),"{DDMMYY}",TEXT(ttValueDate,"ddmmyy")),"{YYYY}",TEXT(ttValueDate,"yyyy")),"{DD}",TEXT(ttValueDate,"dd")),"{MM}",TEXT(ttValueDate,"mm")),"{YY}",TEXT(ttValueDate,"yy"))&amp;REPT(" ",35),35)&amp;REPT(" ",70))</f>
        <v/>
      </c>
      <c r="B96" s="42">
        <f>IF($A96="","",LEN($A96))</f>
        <v/>
      </c>
      <c r="C96" s="43">
        <f>IFERROR(MATCH(88,Entries!$I$5:$I$104,0),"")</f>
        <v/>
      </c>
    </row>
    <row r="97">
      <c r="A97" s="41">
        <f>IF($C97="","",LEFT(INDEX(Entries!$C$5:$C$104,$C97)&amp;REPT(" ",14),14)&amp;TEXT(ttValueDate,"ddmmyyyy")&amp;TEXT(INDEX(Entries!$E$5:$E$104,$C97)*IF(ttAmountUnit="Paise",1,100),REPT("0",23))&amp;INDEX(Entries!$D$5:$D$104,$C97)&amp;"0"&amp;TEXT(ttValueDate,"ddmmyyyy")&amp;REPT(" ",26)&amp;LEFT(SUBSTITUTE(SUBSTITUTE(SUBSTITUTE(SUBSTITUTE(SUBSTITUTE(SUBSTITUTE(INDEX(Entries!$F$5:$F$104,$C97),"{DDMMYYYY}",TEXT(ttValueDate,"ddmmyyyy")),"{DDMMYY}",TEXT(ttValueDate,"ddmmyy")),"{YYYY}",TEXT(ttValueDate,"yyyy")),"{DD}",TEXT(ttValueDate,"dd")),"{MM}",TEXT(ttValueDate,"mm")),"{YY}",TEXT(ttValueDate,"yy"))&amp;REPT(" ",35),35)&amp;REPT(" ",70))</f>
        <v/>
      </c>
      <c r="B97" s="42">
        <f>IF($A97="","",LEN($A97))</f>
        <v/>
      </c>
      <c r="C97" s="43">
        <f>IFERROR(MATCH(89,Entries!$I$5:$I$104,0),"")</f>
        <v/>
      </c>
    </row>
    <row r="98">
      <c r="A98" s="41">
        <f>IF($C98="","",LEFT(INDEX(Entries!$C$5:$C$104,$C98)&amp;REPT(" ",14),14)&amp;TEXT(ttValueDate,"ddmmyyyy")&amp;TEXT(INDEX(Entries!$E$5:$E$104,$C98)*IF(ttAmountUnit="Paise",1,100),REPT("0",23))&amp;INDEX(Entries!$D$5:$D$104,$C98)&amp;"0"&amp;TEXT(ttValueDate,"ddmmyyyy")&amp;REPT(" ",26)&amp;LEFT(SUBSTITUTE(SUBSTITUTE(SUBSTITUTE(SUBSTITUTE(SUBSTITUTE(SUBSTITUTE(INDEX(Entries!$F$5:$F$104,$C98),"{DDMMYYYY}",TEXT(ttValueDate,"ddmmyyyy")),"{DDMMYY}",TEXT(ttValueDate,"ddmmyy")),"{YYYY}",TEXT(ttValueDate,"yyyy")),"{DD}",TEXT(ttValueDate,"dd")),"{MM}",TEXT(ttValueDate,"mm")),"{YY}",TEXT(ttValueDate,"yy"))&amp;REPT(" ",35),35)&amp;REPT(" ",70))</f>
        <v/>
      </c>
      <c r="B98" s="42">
        <f>IF($A98="","",LEN($A98))</f>
        <v/>
      </c>
      <c r="C98" s="43">
        <f>IFERROR(MATCH(90,Entries!$I$5:$I$104,0),"")</f>
        <v/>
      </c>
    </row>
    <row r="99">
      <c r="A99" s="41">
        <f>IF($C99="","",LEFT(INDEX(Entries!$C$5:$C$104,$C99)&amp;REPT(" ",14),14)&amp;TEXT(ttValueDate,"ddmmyyyy")&amp;TEXT(INDEX(Entries!$E$5:$E$104,$C99)*IF(ttAmountUnit="Paise",1,100),REPT("0",23))&amp;INDEX(Entries!$D$5:$D$104,$C99)&amp;"0"&amp;TEXT(ttValueDate,"ddmmyyyy")&amp;REPT(" ",26)&amp;LEFT(SUBSTITUTE(SUBSTITUTE(SUBSTITUTE(SUBSTITUTE(SUBSTITUTE(SUBSTITUTE(INDEX(Entries!$F$5:$F$104,$C99),"{DDMMYYYY}",TEXT(ttValueDate,"ddmmyyyy")),"{DDMMYY}",TEXT(ttValueDate,"ddmmyy")),"{YYYY}",TEXT(ttValueDate,"yyyy")),"{DD}",TEXT(ttValueDate,"dd")),"{MM}",TEXT(ttValueDate,"mm")),"{YY}",TEXT(ttValueDate,"yy"))&amp;REPT(" ",35),35)&amp;REPT(" ",70))</f>
        <v/>
      </c>
      <c r="B99" s="42">
        <f>IF($A99="","",LEN($A99))</f>
        <v/>
      </c>
      <c r="C99" s="43">
        <f>IFERROR(MATCH(91,Entries!$I$5:$I$104,0),"")</f>
        <v/>
      </c>
    </row>
    <row r="100">
      <c r="A100" s="41">
        <f>IF($C100="","",LEFT(INDEX(Entries!$C$5:$C$104,$C100)&amp;REPT(" ",14),14)&amp;TEXT(ttValueDate,"ddmmyyyy")&amp;TEXT(INDEX(Entries!$E$5:$E$104,$C100)*IF(ttAmountUnit="Paise",1,100),REPT("0",23))&amp;INDEX(Entries!$D$5:$D$104,$C100)&amp;"0"&amp;TEXT(ttValueDate,"ddmmyyyy")&amp;REPT(" ",26)&amp;LEFT(SUBSTITUTE(SUBSTITUTE(SUBSTITUTE(SUBSTITUTE(SUBSTITUTE(SUBSTITUTE(INDEX(Entries!$F$5:$F$104,$C100),"{DDMMYYYY}",TEXT(ttValueDate,"ddmmyyyy")),"{DDMMYY}",TEXT(ttValueDate,"ddmmyy")),"{YYYY}",TEXT(ttValueDate,"yyyy")),"{DD}",TEXT(ttValueDate,"dd")),"{MM}",TEXT(ttValueDate,"mm")),"{YY}",TEXT(ttValueDate,"yy"))&amp;REPT(" ",35),35)&amp;REPT(" ",70))</f>
        <v/>
      </c>
      <c r="B100" s="42">
        <f>IF($A100="","",LEN($A100))</f>
        <v/>
      </c>
      <c r="C100" s="43">
        <f>IFERROR(MATCH(92,Entries!$I$5:$I$104,0),"")</f>
        <v/>
      </c>
    </row>
    <row r="101">
      <c r="A101" s="41">
        <f>IF($C101="","",LEFT(INDEX(Entries!$C$5:$C$104,$C101)&amp;REPT(" ",14),14)&amp;TEXT(ttValueDate,"ddmmyyyy")&amp;TEXT(INDEX(Entries!$E$5:$E$104,$C101)*IF(ttAmountUnit="Paise",1,100),REPT("0",23))&amp;INDEX(Entries!$D$5:$D$104,$C101)&amp;"0"&amp;TEXT(ttValueDate,"ddmmyyyy")&amp;REPT(" ",26)&amp;LEFT(SUBSTITUTE(SUBSTITUTE(SUBSTITUTE(SUBSTITUTE(SUBSTITUTE(SUBSTITUTE(INDEX(Entries!$F$5:$F$104,$C101),"{DDMMYYYY}",TEXT(ttValueDate,"ddmmyyyy")),"{DDMMYY}",TEXT(ttValueDate,"ddmmyy")),"{YYYY}",TEXT(ttValueDate,"yyyy")),"{DD}",TEXT(ttValueDate,"dd")),"{MM}",TEXT(ttValueDate,"mm")),"{YY}",TEXT(ttValueDate,"yy"))&amp;REPT(" ",35),35)&amp;REPT(" ",70))</f>
        <v/>
      </c>
      <c r="B101" s="42">
        <f>IF($A101="","",LEN($A101))</f>
        <v/>
      </c>
      <c r="C101" s="43">
        <f>IFERROR(MATCH(93,Entries!$I$5:$I$104,0),"")</f>
        <v/>
      </c>
    </row>
    <row r="102">
      <c r="A102" s="41">
        <f>IF($C102="","",LEFT(INDEX(Entries!$C$5:$C$104,$C102)&amp;REPT(" ",14),14)&amp;TEXT(ttValueDate,"ddmmyyyy")&amp;TEXT(INDEX(Entries!$E$5:$E$104,$C102)*IF(ttAmountUnit="Paise",1,100),REPT("0",23))&amp;INDEX(Entries!$D$5:$D$104,$C102)&amp;"0"&amp;TEXT(ttValueDate,"ddmmyyyy")&amp;REPT(" ",26)&amp;LEFT(SUBSTITUTE(SUBSTITUTE(SUBSTITUTE(SUBSTITUTE(SUBSTITUTE(SUBSTITUTE(INDEX(Entries!$F$5:$F$104,$C102),"{DDMMYYYY}",TEXT(ttValueDate,"ddmmyyyy")),"{DDMMYY}",TEXT(ttValueDate,"ddmmyy")),"{YYYY}",TEXT(ttValueDate,"yyyy")),"{DD}",TEXT(ttValueDate,"dd")),"{MM}",TEXT(ttValueDate,"mm")),"{YY}",TEXT(ttValueDate,"yy"))&amp;REPT(" ",35),35)&amp;REPT(" ",70))</f>
        <v/>
      </c>
      <c r="B102" s="42">
        <f>IF($A102="","",LEN($A102))</f>
        <v/>
      </c>
      <c r="C102" s="43">
        <f>IFERROR(MATCH(94,Entries!$I$5:$I$104,0),"")</f>
        <v/>
      </c>
    </row>
    <row r="103">
      <c r="A103" s="41">
        <f>IF($C103="","",LEFT(INDEX(Entries!$C$5:$C$104,$C103)&amp;REPT(" ",14),14)&amp;TEXT(ttValueDate,"ddmmyyyy")&amp;TEXT(INDEX(Entries!$E$5:$E$104,$C103)*IF(ttAmountUnit="Paise",1,100),REPT("0",23))&amp;INDEX(Entries!$D$5:$D$104,$C103)&amp;"0"&amp;TEXT(ttValueDate,"ddmmyyyy")&amp;REPT(" ",26)&amp;LEFT(SUBSTITUTE(SUBSTITUTE(SUBSTITUTE(SUBSTITUTE(SUBSTITUTE(SUBSTITUTE(INDEX(Entries!$F$5:$F$104,$C103),"{DDMMYYYY}",TEXT(ttValueDate,"ddmmyyyy")),"{DDMMYY}",TEXT(ttValueDate,"ddmmyy")),"{YYYY}",TEXT(ttValueDate,"yyyy")),"{DD}",TEXT(ttValueDate,"dd")),"{MM}",TEXT(ttValueDate,"mm")),"{YY}",TEXT(ttValueDate,"yy"))&amp;REPT(" ",35),35)&amp;REPT(" ",70))</f>
        <v/>
      </c>
      <c r="B103" s="42">
        <f>IF($A103="","",LEN($A103))</f>
        <v/>
      </c>
      <c r="C103" s="43">
        <f>IFERROR(MATCH(95,Entries!$I$5:$I$104,0),"")</f>
        <v/>
      </c>
    </row>
    <row r="104">
      <c r="A104" s="41">
        <f>IF($C104="","",LEFT(INDEX(Entries!$C$5:$C$104,$C104)&amp;REPT(" ",14),14)&amp;TEXT(ttValueDate,"ddmmyyyy")&amp;TEXT(INDEX(Entries!$E$5:$E$104,$C104)*IF(ttAmountUnit="Paise",1,100),REPT("0",23))&amp;INDEX(Entries!$D$5:$D$104,$C104)&amp;"0"&amp;TEXT(ttValueDate,"ddmmyyyy")&amp;REPT(" ",26)&amp;LEFT(SUBSTITUTE(SUBSTITUTE(SUBSTITUTE(SUBSTITUTE(SUBSTITUTE(SUBSTITUTE(INDEX(Entries!$F$5:$F$104,$C104),"{DDMMYYYY}",TEXT(ttValueDate,"ddmmyyyy")),"{DDMMYY}",TEXT(ttValueDate,"ddmmyy")),"{YYYY}",TEXT(ttValueDate,"yyyy")),"{DD}",TEXT(ttValueDate,"dd")),"{MM}",TEXT(ttValueDate,"mm")),"{YY}",TEXT(ttValueDate,"yy"))&amp;REPT(" ",35),35)&amp;REPT(" ",70))</f>
        <v/>
      </c>
      <c r="B104" s="42">
        <f>IF($A104="","",LEN($A104))</f>
        <v/>
      </c>
      <c r="C104" s="43">
        <f>IFERROR(MATCH(96,Entries!$I$5:$I$104,0),"")</f>
        <v/>
      </c>
    </row>
    <row r="105">
      <c r="A105" s="41">
        <f>IF($C105="","",LEFT(INDEX(Entries!$C$5:$C$104,$C105)&amp;REPT(" ",14),14)&amp;TEXT(ttValueDate,"ddmmyyyy")&amp;TEXT(INDEX(Entries!$E$5:$E$104,$C105)*IF(ttAmountUnit="Paise",1,100),REPT("0",23))&amp;INDEX(Entries!$D$5:$D$104,$C105)&amp;"0"&amp;TEXT(ttValueDate,"ddmmyyyy")&amp;REPT(" ",26)&amp;LEFT(SUBSTITUTE(SUBSTITUTE(SUBSTITUTE(SUBSTITUTE(SUBSTITUTE(SUBSTITUTE(INDEX(Entries!$F$5:$F$104,$C105),"{DDMMYYYY}",TEXT(ttValueDate,"ddmmyyyy")),"{DDMMYY}",TEXT(ttValueDate,"ddmmyy")),"{YYYY}",TEXT(ttValueDate,"yyyy")),"{DD}",TEXT(ttValueDate,"dd")),"{MM}",TEXT(ttValueDate,"mm")),"{YY}",TEXT(ttValueDate,"yy"))&amp;REPT(" ",35),35)&amp;REPT(" ",70))</f>
        <v/>
      </c>
      <c r="B105" s="42">
        <f>IF($A105="","",LEN($A105))</f>
        <v/>
      </c>
      <c r="C105" s="43">
        <f>IFERROR(MATCH(97,Entries!$I$5:$I$104,0),"")</f>
        <v/>
      </c>
    </row>
    <row r="106">
      <c r="A106" s="41">
        <f>IF($C106="","",LEFT(INDEX(Entries!$C$5:$C$104,$C106)&amp;REPT(" ",14),14)&amp;TEXT(ttValueDate,"ddmmyyyy")&amp;TEXT(INDEX(Entries!$E$5:$E$104,$C106)*IF(ttAmountUnit="Paise",1,100),REPT("0",23))&amp;INDEX(Entries!$D$5:$D$104,$C106)&amp;"0"&amp;TEXT(ttValueDate,"ddmmyyyy")&amp;REPT(" ",26)&amp;LEFT(SUBSTITUTE(SUBSTITUTE(SUBSTITUTE(SUBSTITUTE(SUBSTITUTE(SUBSTITUTE(INDEX(Entries!$F$5:$F$104,$C106),"{DDMMYYYY}",TEXT(ttValueDate,"ddmmyyyy")),"{DDMMYY}",TEXT(ttValueDate,"ddmmyy")),"{YYYY}",TEXT(ttValueDate,"yyyy")),"{DD}",TEXT(ttValueDate,"dd")),"{MM}",TEXT(ttValueDate,"mm")),"{YY}",TEXT(ttValueDate,"yy"))&amp;REPT(" ",35),35)&amp;REPT(" ",70))</f>
        <v/>
      </c>
      <c r="B106" s="42">
        <f>IF($A106="","",LEN($A106))</f>
        <v/>
      </c>
      <c r="C106" s="43">
        <f>IFERROR(MATCH(98,Entries!$I$5:$I$104,0),"")</f>
        <v/>
      </c>
    </row>
    <row r="107">
      <c r="A107" s="41">
        <f>IF($C107="","",LEFT(INDEX(Entries!$C$5:$C$104,$C107)&amp;REPT(" ",14),14)&amp;TEXT(ttValueDate,"ddmmyyyy")&amp;TEXT(INDEX(Entries!$E$5:$E$104,$C107)*IF(ttAmountUnit="Paise",1,100),REPT("0",23))&amp;INDEX(Entries!$D$5:$D$104,$C107)&amp;"0"&amp;TEXT(ttValueDate,"ddmmyyyy")&amp;REPT(" ",26)&amp;LEFT(SUBSTITUTE(SUBSTITUTE(SUBSTITUTE(SUBSTITUTE(SUBSTITUTE(SUBSTITUTE(INDEX(Entries!$F$5:$F$104,$C107),"{DDMMYYYY}",TEXT(ttValueDate,"ddmmyyyy")),"{DDMMYY}",TEXT(ttValueDate,"ddmmyy")),"{YYYY}",TEXT(ttValueDate,"yyyy")),"{DD}",TEXT(ttValueDate,"dd")),"{MM}",TEXT(ttValueDate,"mm")),"{YY}",TEXT(ttValueDate,"yy"))&amp;REPT(" ",35),35)&amp;REPT(" ",70))</f>
        <v/>
      </c>
      <c r="B107" s="42">
        <f>IF($A107="","",LEN($A107))</f>
        <v/>
      </c>
      <c r="C107" s="43">
        <f>IFERROR(MATCH(99,Entries!$I$5:$I$104,0),"")</f>
        <v/>
      </c>
    </row>
    <row r="108">
      <c r="A108" s="41">
        <f>IF($C108="","",LEFT(INDEX(Entries!$C$5:$C$104,$C108)&amp;REPT(" ",14),14)&amp;TEXT(ttValueDate,"ddmmyyyy")&amp;TEXT(INDEX(Entries!$E$5:$E$104,$C108)*IF(ttAmountUnit="Paise",1,100),REPT("0",23))&amp;INDEX(Entries!$D$5:$D$104,$C108)&amp;"0"&amp;TEXT(ttValueDate,"ddmmyyyy")&amp;REPT(" ",26)&amp;LEFT(SUBSTITUTE(SUBSTITUTE(SUBSTITUTE(SUBSTITUTE(SUBSTITUTE(SUBSTITUTE(INDEX(Entries!$F$5:$F$104,$C108),"{DDMMYYYY}",TEXT(ttValueDate,"ddmmyyyy")),"{DDMMYY}",TEXT(ttValueDate,"ddmmyy")),"{YYYY}",TEXT(ttValueDate,"yyyy")),"{DD}",TEXT(ttValueDate,"dd")),"{MM}",TEXT(ttValueDate,"mm")),"{YY}",TEXT(ttValueDate,"yy"))&amp;REPT(" ",35),35)&amp;REPT(" ",70))</f>
        <v/>
      </c>
      <c r="B108" s="42">
        <f>IF($A108="","",LEN($A108))</f>
        <v/>
      </c>
      <c r="C108" s="43">
        <f>IFERROR(MATCH(100,Entries!$I$5:$I$104,0),"")</f>
        <v/>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codeName="shConfig">
    <outlinePr summaryBelow="1" summaryRight="1"/>
    <pageSetUpPr/>
  </sheetPr>
  <dimension ref="A1:D12"/>
  <sheetViews>
    <sheetView showGridLines="0" workbookViewId="0">
      <selection activeCell="A1" sqref="A1"/>
    </sheetView>
  </sheetViews>
  <sheetFormatPr baseColWidth="8" defaultRowHeight="15"/>
  <cols>
    <col width="2.5" customWidth="1" min="1" max="1"/>
    <col width="36" customWidth="1" min="2" max="2"/>
    <col width="32" customWidth="1" min="3" max="3"/>
    <col width="62" customWidth="1" min="4" max="4"/>
  </cols>
  <sheetData>
    <row r="1" ht="30" customHeight="1">
      <c r="A1" s="1" t="inlineStr">
        <is>
          <t xml:space="preserve">   CONFIG</t>
        </is>
      </c>
      <c r="B1" s="2" t="n"/>
      <c r="C1" s="2" t="n"/>
      <c r="D1" s="2" t="n"/>
    </row>
    <row r="2" ht="16" customHeight="1">
      <c r="A2" s="3" t="inlineStr">
        <is>
          <t xml:space="preserve">   Settings that rarely change. The daily inputs live on the Dashboard.</t>
        </is>
      </c>
      <c r="B2" s="2" t="n"/>
      <c r="C2" s="2" t="n"/>
      <c r="D2" s="2" t="n"/>
    </row>
    <row r="4">
      <c r="B4" s="40" t="inlineStr">
        <is>
          <t>Setting</t>
        </is>
      </c>
      <c r="C4" s="40" t="inlineStr">
        <is>
          <t>Value</t>
        </is>
      </c>
      <c r="D4" s="40" t="inlineStr">
        <is>
          <t>What it does</t>
        </is>
      </c>
    </row>
    <row r="5" ht="44" customHeight="1">
      <c r="B5" s="44" t="inlineStr">
        <is>
          <t>Amount column is entered as</t>
        </is>
      </c>
      <c r="C5" s="8" t="inlineStr">
        <is>
          <t>Paise</t>
        </is>
      </c>
      <c r="D5" s="12" t="inlineStr">
        <is>
          <t>Paise: the Amount column is the figure exactly as the settlement report shows it, with the last two digits being the paise, so 47400 means 474.00. Rupees: type 474.00 instead. The Reads as (INR) column on Entries shows the effect.</t>
        </is>
      </c>
    </row>
    <row r="6" ht="30" customHeight="1">
      <c r="B6" s="44" t="inlineStr">
        <is>
          <t>File name pattern</t>
        </is>
      </c>
      <c r="C6" s="8" t="inlineStr">
        <is>
          <t>PROPELG_TTUM_{DDMMYYYY}.txt</t>
        </is>
      </c>
      <c r="D6" s="12" t="inlineStr">
        <is>
          <t>Tokens are replaced with the file-name date shown on the Dashboard.</t>
        </is>
      </c>
    </row>
    <row r="7" ht="30" customHeight="1">
      <c r="B7" s="44" t="inlineStr">
        <is>
          <t>File-name date offset (days)</t>
        </is>
      </c>
      <c r="C7" s="8" t="n">
        <v>1</v>
      </c>
      <c r="D7" s="12" t="inlineStr">
        <is>
          <t>The bank sample is dated one day after the value date it carries, so this is 1. Set 0 to use the value date itself.</t>
        </is>
      </c>
    </row>
    <row r="8" ht="30" customHeight="1">
      <c r="B8" s="44" t="inlineStr">
        <is>
          <t>Block generation when out of balance</t>
        </is>
      </c>
      <c r="C8" s="8" t="inlineStr">
        <is>
          <t>Yes</t>
        </is>
      </c>
      <c r="D8" s="12" t="inlineStr">
        <is>
          <t>Yes stops the file when total debit does not equal total credit. No asks first and lets you continue.</t>
        </is>
      </c>
    </row>
    <row r="9" ht="30" customHeight="1">
      <c r="B9" s="44" t="inlineStr">
        <is>
          <t>Write a line break after the last record</t>
        </is>
      </c>
      <c r="C9" s="8" t="inlineStr">
        <is>
          <t>No</t>
        </is>
      </c>
      <c r="D9" s="12" t="inlineStr">
        <is>
          <t>No matches the bank's sample file, which ends immediately after the last record.</t>
        </is>
      </c>
    </row>
    <row r="10" ht="30" customHeight="1">
      <c r="B10" s="44" t="inlineStr">
        <is>
          <t>Input folder</t>
        </is>
      </c>
      <c r="C10" s="8" t="inlineStr"/>
      <c r="D10" s="12" t="inlineStr">
        <is>
          <t>The folder the settlement system drops its file into. Import Latest Input File takes the newest matching file from here. Leave blank to be asked each time.</t>
        </is>
      </c>
    </row>
    <row r="11" ht="30" customHeight="1">
      <c r="B11" s="44" t="inlineStr">
        <is>
          <t>Input file name pattern</t>
        </is>
      </c>
      <c r="C11" s="8" t="inlineStr">
        <is>
          <t>NET_MERPAY_PROPELG*.txt</t>
        </is>
      </c>
      <c r="D11" s="12" t="inlineStr">
        <is>
          <t>Which files in that folder count as settlement files. * stands for anything.</t>
        </is>
      </c>
    </row>
    <row r="12" ht="30" customHeight="1">
      <c r="B12" s="44" t="inlineStr">
        <is>
          <t>Imported file sets the value date</t>
        </is>
      </c>
      <c r="C12" s="8" t="inlineStr">
        <is>
          <t>Yes</t>
        </is>
      </c>
      <c r="D12" s="12" t="inlineStr">
        <is>
          <t>Yes takes the value date from the file's own records. No keeps whatever is already on the Dashboard.</t>
        </is>
      </c>
    </row>
  </sheetData>
  <mergeCells count="2">
    <mergeCell ref="A1:D1"/>
    <mergeCell ref="A2:D2"/>
  </mergeCells>
  <dataValidations count="3">
    <dataValidation sqref="C5" showDropDown="0" showInputMessage="0" showErrorMessage="0" allowBlank="0" type="list">
      <formula1>"Paise,Rupees"</formula1>
    </dataValidation>
    <dataValidation sqref="C8:C9" showDropDown="0" showInputMessage="0" showErrorMessage="0" allowBlank="0" type="list">
      <formula1>"Yes,No"</formula1>
    </dataValidation>
    <dataValidation sqref="C12"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codeName="shLog">
    <outlinePr summaryBelow="1" summaryRight="1"/>
    <pageSetUpPr/>
  </sheetPr>
  <dimension ref="A1:J3"/>
  <sheetViews>
    <sheetView showGridLines="0" workbookViewId="0">
      <pane ySplit="3" topLeftCell="A4" activePane="bottomLeft" state="frozen"/>
      <selection pane="bottomLeft" activeCell="A1" sqref="A1"/>
    </sheetView>
  </sheetViews>
  <sheetFormatPr baseColWidth="8" defaultRowHeight="15"/>
  <cols>
    <col width="19" customWidth="1" min="1" max="1"/>
    <col width="14" customWidth="1" min="2" max="2"/>
    <col width="14" customWidth="1" min="3" max="3"/>
    <col width="30" customWidth="1" min="4" max="4"/>
    <col width="9" customWidth="1" min="5" max="5"/>
    <col width="14" customWidth="1" min="6" max="6"/>
    <col width="14" customWidth="1" min="7" max="7"/>
    <col width="16" customWidth="1" min="8" max="8"/>
    <col width="18" customWidth="1" min="9" max="9"/>
    <col width="60" customWidth="1" min="10" max="10"/>
  </cols>
  <sheetData>
    <row r="1" ht="30" customHeight="1">
      <c r="A1" s="1" t="inlineStr">
        <is>
          <t xml:space="preserve">   GENERATION LOG</t>
        </is>
      </c>
      <c r="B1" s="2" t="n"/>
      <c r="C1" s="2" t="n"/>
      <c r="D1" s="2" t="n"/>
      <c r="E1" s="2" t="n"/>
      <c r="F1" s="2" t="n"/>
      <c r="G1" s="2" t="n"/>
      <c r="H1" s="2" t="n"/>
      <c r="I1" s="2" t="n"/>
      <c r="J1" s="2" t="n"/>
    </row>
    <row r="2" ht="16" customHeight="1">
      <c r="A2" s="3" t="inlineStr">
        <is>
          <t xml:space="preserve">   One row is added every time a file is written.</t>
        </is>
      </c>
      <c r="B2" s="2" t="n"/>
      <c r="C2" s="2" t="n"/>
      <c r="D2" s="2" t="n"/>
      <c r="E2" s="2" t="n"/>
      <c r="F2" s="2" t="n"/>
      <c r="G2" s="2" t="n"/>
      <c r="H2" s="2" t="n"/>
      <c r="I2" s="2" t="n"/>
      <c r="J2" s="2" t="n"/>
    </row>
    <row r="3">
      <c r="A3" s="40" t="inlineStr">
        <is>
          <t>Generated at</t>
        </is>
      </c>
      <c r="B3" s="40" t="inlineStr">
        <is>
          <t>Value date</t>
        </is>
      </c>
      <c r="C3" s="40" t="inlineStr">
        <is>
          <t>File date</t>
        </is>
      </c>
      <c r="D3" s="40" t="inlineStr">
        <is>
          <t>File name</t>
        </is>
      </c>
      <c r="E3" s="40" t="inlineStr">
        <is>
          <t>Records</t>
        </is>
      </c>
      <c r="F3" s="40" t="inlineStr">
        <is>
          <t>Total debit</t>
        </is>
      </c>
      <c r="G3" s="40" t="inlineStr">
        <is>
          <t>Total credit</t>
        </is>
      </c>
      <c r="H3" s="40" t="inlineStr">
        <is>
          <t>Balance</t>
        </is>
      </c>
      <c r="I3" s="40" t="inlineStr">
        <is>
          <t>User</t>
        </is>
      </c>
      <c r="J3" s="40" t="inlineStr">
        <is>
          <t>Full path</t>
        </is>
      </c>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codeName="shLayout">
    <outlinePr summaryBelow="1" summaryRight="1"/>
    <pageSetUpPr/>
  </sheetPr>
  <dimension ref="A1:F25"/>
  <sheetViews>
    <sheetView showGridLines="0" workbookViewId="0">
      <selection activeCell="A1" sqref="A1"/>
    </sheetView>
  </sheetViews>
  <sheetFormatPr baseColWidth="8" defaultRowHeight="15"/>
  <cols>
    <col width="2.5" customWidth="1" min="1" max="1"/>
    <col width="8" customWidth="1" min="2" max="2"/>
    <col width="14" customWidth="1" min="3" max="3"/>
    <col width="24" customWidth="1" min="4" max="4"/>
    <col width="10" customWidth="1" min="5" max="5"/>
    <col width="60" customWidth="1" min="6" max="6"/>
  </cols>
  <sheetData>
    <row r="1" ht="30" customHeight="1">
      <c r="A1" s="1" t="inlineStr">
        <is>
          <t xml:space="preserve">   RECORD LAYOUT</t>
        </is>
      </c>
      <c r="B1" s="2" t="n"/>
      <c r="C1" s="2" t="n"/>
      <c r="D1" s="2" t="n"/>
      <c r="E1" s="2" t="n"/>
      <c r="F1" s="2" t="n"/>
    </row>
    <row r="2" ht="16" customHeight="1">
      <c r="A2" s="3" t="inlineStr">
        <is>
          <t xml:space="preserve">   Reference only - the macro builds every record to this layout.</t>
        </is>
      </c>
      <c r="B2" s="2" t="n"/>
      <c r="C2" s="2" t="n"/>
      <c r="D2" s="2" t="n"/>
      <c r="E2" s="2" t="n"/>
      <c r="F2" s="2" t="n"/>
    </row>
    <row r="4">
      <c r="B4" s="40" t="inlineStr">
        <is>
          <t>#</t>
        </is>
      </c>
      <c r="C4" s="40" t="inlineStr">
        <is>
          <t>Columns</t>
        </is>
      </c>
      <c r="D4" s="40" t="inlineStr">
        <is>
          <t>Field</t>
        </is>
      </c>
      <c r="E4" s="40" t="inlineStr">
        <is>
          <t>Length</t>
        </is>
      </c>
      <c r="F4" s="40" t="inlineStr">
        <is>
          <t>Content</t>
        </is>
      </c>
    </row>
    <row r="5">
      <c r="B5" s="45" t="n">
        <v>1</v>
      </c>
      <c r="C5" s="45" t="inlineStr">
        <is>
          <t>1-14</t>
        </is>
      </c>
      <c r="D5" s="45" t="inlineStr">
        <is>
          <t>Account number</t>
        </is>
      </c>
      <c r="E5" s="45" t="n">
        <v>14</v>
      </c>
      <c r="F5" s="46" t="inlineStr">
        <is>
          <t>Left justified, padded on the right with spaces.</t>
        </is>
      </c>
    </row>
    <row r="6">
      <c r="B6" s="45" t="n">
        <v>2</v>
      </c>
      <c r="C6" s="45" t="inlineStr">
        <is>
          <t>15-22</t>
        </is>
      </c>
      <c r="D6" s="45" t="inlineStr">
        <is>
          <t>Value date</t>
        </is>
      </c>
      <c r="E6" s="45" t="n">
        <v>8</v>
      </c>
      <c r="F6" s="46" t="inlineStr">
        <is>
          <t>DDMMYYYY.</t>
        </is>
      </c>
    </row>
    <row r="7">
      <c r="B7" s="45" t="n">
        <v>3</v>
      </c>
      <c r="C7" s="45" t="inlineStr">
        <is>
          <t>23-45</t>
        </is>
      </c>
      <c r="D7" s="45" t="inlineStr">
        <is>
          <t>Amount</t>
        </is>
      </c>
      <c r="E7" s="45" t="n">
        <v>23</v>
      </c>
      <c r="F7" s="46" t="inlineStr">
        <is>
          <t>Whole paise, padded on the left with zeros. 20000 means 200.00.</t>
        </is>
      </c>
    </row>
    <row r="8">
      <c r="B8" s="45" t="n">
        <v>4</v>
      </c>
      <c r="C8" s="45" t="inlineStr">
        <is>
          <t>46</t>
        </is>
      </c>
      <c r="D8" s="45" t="inlineStr">
        <is>
          <t>Transaction type</t>
        </is>
      </c>
      <c r="E8" s="45" t="n">
        <v>1</v>
      </c>
      <c r="F8" s="46" t="inlineStr">
        <is>
          <t>D for debit, C for credit.</t>
        </is>
      </c>
    </row>
    <row r="9">
      <c r="B9" s="45" t="n">
        <v>5</v>
      </c>
      <c r="C9" s="45" t="inlineStr">
        <is>
          <t>47-55</t>
        </is>
      </c>
      <c r="D9" s="45" t="inlineStr">
        <is>
          <t>Value date</t>
        </is>
      </c>
      <c r="E9" s="45" t="n">
        <v>9</v>
      </c>
      <c r="F9" s="46" t="inlineStr">
        <is>
          <t>The same date again as 0 + DDMMYYYY.</t>
        </is>
      </c>
    </row>
    <row r="10">
      <c r="B10" s="45" t="n">
        <v>6</v>
      </c>
      <c r="C10" s="45" t="inlineStr">
        <is>
          <t>56-81</t>
        </is>
      </c>
      <c r="D10" s="45" t="inlineStr">
        <is>
          <t>Filler</t>
        </is>
      </c>
      <c r="E10" s="45" t="n">
        <v>26</v>
      </c>
      <c r="F10" s="46" t="inlineStr">
        <is>
          <t>Spaces.</t>
        </is>
      </c>
    </row>
    <row r="11">
      <c r="B11" s="45" t="n">
        <v>7</v>
      </c>
      <c r="C11" s="45" t="inlineStr">
        <is>
          <t>82-116</t>
        </is>
      </c>
      <c r="D11" s="45" t="inlineStr">
        <is>
          <t>Narration</t>
        </is>
      </c>
      <c r="E11" s="45" t="n">
        <v>35</v>
      </c>
      <c r="F11" s="46" t="inlineStr">
        <is>
          <t>Left justified, padded on the right with spaces.</t>
        </is>
      </c>
    </row>
    <row r="12">
      <c r="B12" s="45" t="n">
        <v>8</v>
      </c>
      <c r="C12" s="45" t="inlineStr">
        <is>
          <t>117-186</t>
        </is>
      </c>
      <c r="D12" s="45" t="inlineStr">
        <is>
          <t>Filler</t>
        </is>
      </c>
      <c r="E12" s="45" t="n">
        <v>70</v>
      </c>
      <c r="F12" s="46" t="inlineStr">
        <is>
          <t>Spaces.</t>
        </is>
      </c>
    </row>
    <row r="13">
      <c r="D13" s="29" t="inlineStr">
        <is>
          <t>Total</t>
        </is>
      </c>
      <c r="E13" s="29" t="n">
        <v>186</v>
      </c>
      <c r="F13" s="18" t="inlineStr">
        <is>
          <t>Records are separated by CR LF.</t>
        </is>
      </c>
    </row>
    <row r="15">
      <c r="B15" s="16" t="inlineStr">
        <is>
          <t>Worked example - the bank's own file for value date 15-07-2026</t>
        </is>
      </c>
    </row>
    <row r="16">
      <c r="B16" s="18" t="inlineStr">
        <is>
          <t>Amounts below are that day's figures; each line is exactly 186 characters.</t>
        </is>
      </c>
    </row>
    <row r="17">
      <c r="B17" s="41" t="inlineStr">
        <is>
          <t xml:space="preserve">009935625117311507202600000000000000000020000D015072026                          PROPELG VI settlement 150726                                                                             </t>
        </is>
      </c>
    </row>
    <row r="18">
      <c r="B18" s="41" t="inlineStr">
        <is>
          <t xml:space="preserve">009935625117321507202600000000000000000030000D015072026                          PROPELG MC settlement 150726                                                                             </t>
        </is>
      </c>
    </row>
    <row r="19">
      <c r="B19" s="41" t="inlineStr">
        <is>
          <t xml:space="preserve">009935646101191507202600000000000000000001000C015072026                          PROPELG MC comm recd 150726                                                                              </t>
        </is>
      </c>
    </row>
    <row r="20">
      <c r="B20" s="41" t="inlineStr">
        <is>
          <t xml:space="preserve">009935646101221507202600000000000000000001000C015072026                          PROPELG VI comm recd 150726                                                                              </t>
        </is>
      </c>
    </row>
    <row r="21">
      <c r="B21" s="41" t="inlineStr">
        <is>
          <t xml:space="preserve">009935646101191507202600000000000000000000200C015072026                          PROPELG MC GST comm recd 150726                                                                          </t>
        </is>
      </c>
    </row>
    <row r="22">
      <c r="B22" s="41" t="inlineStr">
        <is>
          <t xml:space="preserve">009935646101221507202600000000000000000000200C015072026                          PROPELG VI GST comm recd 150726                                                                          </t>
        </is>
      </c>
    </row>
    <row r="23">
      <c r="B23" s="41" t="inlineStr">
        <is>
          <t xml:space="preserve">009935646101191507202600000000000000000000100C015072026                          PROPELG MC Non GST comm recd 150726                                                                      </t>
        </is>
      </c>
    </row>
    <row r="24">
      <c r="B24" s="41" t="inlineStr">
        <is>
          <t xml:space="preserve">009935646101221507202600000000000000000000100C015072026                          PROPELG VI Non GST comm recd 150726                                                                      </t>
        </is>
      </c>
    </row>
    <row r="25">
      <c r="B25" s="41" t="inlineStr">
        <is>
          <t xml:space="preserve">200999103427  1507202600000000000000000047400C015072026                          PROPELG-TXN Prp India 150726 150726                                                                      </t>
        </is>
      </c>
    </row>
  </sheetData>
  <mergeCells count="2">
    <mergeCell ref="A2:F2"/>
    <mergeCell ref="A1:F1"/>
  </mergeCells>
  <pageMargins left="0.75" right="0.75" top="1" bottom="1" header="0.5" footer="0.5"/>
</worksheet>
</file>

<file path=xl/worksheets/sheet8.xml><?xml version="1.0" encoding="utf-8"?>
<worksheet xmlns="http://schemas.openxmlformats.org/spreadsheetml/2006/main">
  <sheetPr codeName="shSetup">
    <outlinePr summaryBelow="1" summaryRight="1"/>
    <pageSetUpPr/>
  </sheetPr>
  <dimension ref="A1:C33"/>
  <sheetViews>
    <sheetView showGridLines="0" workbookViewId="0">
      <selection activeCell="A1" sqref="A1"/>
    </sheetView>
  </sheetViews>
  <sheetFormatPr baseColWidth="8" defaultRowHeight="15"/>
  <cols>
    <col width="4" customWidth="1" min="1" max="1"/>
    <col width="104" customWidth="1" min="2" max="2"/>
  </cols>
  <sheetData>
    <row r="1" ht="30" customHeight="1">
      <c r="A1" s="1" t="inlineStr">
        <is>
          <t xml:space="preserve">   SETUP AND TROUBLESHOOTING</t>
        </is>
      </c>
      <c r="B1" s="2" t="n"/>
      <c r="C1" s="2" t="n"/>
    </row>
    <row r="2" ht="16" customHeight="1">
      <c r="A2" s="3" t="inlineStr">
        <is>
          <t xml:space="preserve">   Read this if clicking a button on the Dashboard does nothing.</t>
        </is>
      </c>
      <c r="B2" s="2" t="n"/>
      <c r="C2" s="2" t="n"/>
    </row>
    <row r="4" ht="44" customHeight="1">
      <c r="B4" s="47" t="inlineStr">
        <is>
          <t>Why a button can do nothing</t>
        </is>
      </c>
    </row>
    <row r="6" ht="42" customHeight="1">
      <c r="B6" s="12" t="inlineStr">
        <is>
          <t>The buttons are drawings stored in the file, so they are always visible. What they run is a macro, and Excel will refuse to run macros in a file it does not trust. Work down this list - the first step fixes it most of the time.</t>
        </is>
      </c>
    </row>
    <row r="8">
      <c r="B8" s="5" t="inlineStr">
        <is>
          <t>1.  Unblock the file  (do this one first)</t>
        </is>
      </c>
    </row>
    <row r="9" ht="44" customHeight="1">
      <c r="B9" s="47" t="inlineStr">
        <is>
          <t>Close the workbook. Find it in File Explorer, right-click it, choose Properties, tick Unblock at the bottom of the General tab, click OK, then open it again.</t>
        </is>
      </c>
    </row>
    <row r="11" ht="42" customHeight="1">
      <c r="B11" s="12" t="inlineStr">
        <is>
          <t>Files that arrive by email or download carry a mark that makes Excel block their macros outright. Newer Excel shows a red bar for this - Enable Content will not appear, and clicking anything else will not help. Unblocking is the only fix.</t>
        </is>
      </c>
    </row>
    <row r="13">
      <c r="B13" s="5" t="inlineStr">
        <is>
          <t>2.  Put the workbook in a trusted folder</t>
        </is>
      </c>
    </row>
    <row r="14" ht="44" customHeight="1">
      <c r="B14" s="47" t="inlineStr">
        <is>
          <t>File &gt; Options &gt; Trust Center &gt; Trust Center Settings &gt; Trusted Locations &gt; Add new location. Add the folder you keep this workbook in, then reopen it.</t>
        </is>
      </c>
    </row>
    <row r="16">
      <c r="B16" s="5" t="inlineStr">
        <is>
          <t>3.  Check the macro setting itself</t>
        </is>
      </c>
    </row>
    <row r="17" ht="44" customHeight="1">
      <c r="B17" s="47" t="inlineStr">
        <is>
          <t>File &gt; Options &gt; Trust Center &gt; Trust Center Settings &gt; Macro Settings. It should be Disable all macros with notification. If it is Disable all macros without notification, no prompt ever appears and nothing will run.</t>
        </is>
      </c>
    </row>
    <row r="19">
      <c r="B19" s="5" t="inlineStr">
        <is>
          <t>4.  Check whether the macros arrived at all</t>
        </is>
      </c>
    </row>
    <row r="20" ht="44" customHeight="1">
      <c r="B20" s="47" t="inlineStr">
        <is>
          <t>Press Alt+F8. If GenerateTTUM is in the list, the macros are present - run it straight from there, and the buttons will work once trust is sorted out. If the list is empty, the macros did not load, so do step 5.</t>
        </is>
      </c>
    </row>
    <row r="22">
      <c r="B22" s="5" t="inlineStr">
        <is>
          <t>5.  Load the macros by hand  (about a minute, needed only once)</t>
        </is>
      </c>
    </row>
    <row r="23" ht="44" customHeight="1">
      <c r="B23" s="47" t="inlineStr">
        <is>
          <t>Press Alt+F11 to open the Visual Basic editor. Choose File &gt; Import File, pick modTTUM.bas from the folder this workbook came in, then press Alt+Q to close the editor. Save the workbook. The buttons are already wired to it and will now work.</t>
        </is>
      </c>
    </row>
    <row r="25">
      <c r="B25" s="5" t="inlineStr">
        <is>
          <t>If macros are blocked and cannot be unblocked</t>
        </is>
      </c>
    </row>
    <row r="26" ht="44" customHeight="1">
      <c r="B26" s="47" t="inlineStr">
        <is>
          <t>Use the Text Output sheet. It builds the same records with worksheet formulas and no macro at all - copy them into Notepad and save. Nothing else about the workbook changes: the dates, amounts and checks all work as normal.</t>
        </is>
      </c>
    </row>
    <row r="28">
      <c r="B28" s="5" t="inlineStr">
        <is>
          <t>If the import does not load anything</t>
        </is>
      </c>
    </row>
    <row r="29" ht="44" customHeight="1">
      <c r="B29" s="47" t="inlineStr">
        <is>
          <t>Click Check Setup. It writes a Diagnostics sheet listing every sheet and setting this workbook has, where the import match text was found, how many match texts there are, and whether the input folder can be read. Anything wrong is marked in capitals.</t>
        </is>
      </c>
    </row>
    <row r="31" ht="44" customHeight="1">
      <c r="B31" s="47" t="inlineStr">
        <is>
          <t>The usual cause is the Import match text column on the Entries sheet: a row claims a line when its match text appears inside that line's narration, so if the settlement system changes its wording the match texts have to change with it. When nothing matches, the message lists the narrations found in the file beside the match texts on the sheet, so you can see which end moved.</t>
        </is>
      </c>
    </row>
    <row r="33" ht="42" customHeight="1">
      <c r="B33" s="12" t="inlineStr">
        <is>
          <t>Mixing files from different versions also breaks it - a workbook from one build with the macro from another. Take both from the same download.</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2026-09-04T02:29:55Z</dcterms:created>
  <dcterms:modified xmlns:dcterms="http://purl.org/dc/terms/" xmlns:xsi="http://www.w3.org/2001/XMLSchema-instance" xsi:type="dcterms:W3CDTF">2026-09-04T02:29:55Z</dcterms:modified>
</cp:coreProperties>
</file>