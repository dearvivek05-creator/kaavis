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Entries" sheetId="2" state="visible" r:id="rId2"/>
    <sheet name="Text Output" sheetId="3" state="visible" r:id="rId3"/>
    <sheet name="Config" sheetId="4" state="visible" r:id="rId4"/>
    <sheet name="Log" sheetId="5" state="visible" r:id="rId5"/>
    <sheet name="Layout" sheetId="6" state="visible" r:id="rId6"/>
    <sheet name="Setup" sheetId="7" state="visible" r:id="rId7"/>
  </sheets>
  <definedNames>
    <definedName name="ttValueDate">Dashboard!$C$6</definedName>
    <definedName name="ttFileDate">Dashboard!$C$7</definedName>
    <definedName name="ttOutputFolder">Dashboard!$C$17</definedName>
    <definedName name="ttStatus">Dashboard!$B$22</definedName>
    <definedName name="ttAmountUnit">Config!$C$5</definedName>
    <definedName name="ttFileNamePattern">Config!$C$6</definedName>
    <definedName name="ttFileDateOffset">Config!$C$7</definedName>
    <definedName name="ttEnforceBalance">Config!$C$8</definedName>
    <definedName name="ttTrailingNewline">Config!$C$9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9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i val="1"/>
      <color rgb="00D6E0EA"/>
      <sz val="10"/>
    </font>
    <font>
      <name val="Calibri"/>
      <b val="1"/>
      <color rgb="008A6100"/>
      <sz val="10"/>
    </font>
    <font>
      <name val="Calibri"/>
      <b val="1"/>
      <color rgb="001F3355"/>
      <sz val="11"/>
    </font>
    <font>
      <name val="Calibri"/>
      <color rgb="001F2937"/>
      <sz val="11"/>
    </font>
    <font>
      <name val="Calibri"/>
      <b val="1"/>
      <color rgb="001F2937"/>
      <sz val="11"/>
    </font>
    <font>
      <name val="Calibri"/>
      <i val="1"/>
      <color rgb="006B7280"/>
      <sz val="9"/>
    </font>
    <font>
      <name val="Calibri"/>
      <b val="1"/>
      <color rgb="00006E3C"/>
      <sz val="11"/>
    </font>
    <font>
      <name val="Calibri"/>
      <b val="1"/>
      <sz val="11"/>
    </font>
    <font>
      <b val="1"/>
      <sz val="10"/>
    </font>
    <font>
      <name val="Calibri"/>
      <b val="1"/>
      <color rgb="001F3355"/>
      <sz val="10"/>
    </font>
    <font>
      <name val="Calibri"/>
      <sz val="10"/>
    </font>
    <font>
      <name val="Calibri"/>
      <color rgb="009AA5B1"/>
      <sz val="9"/>
    </font>
    <font>
      <name val="Calibri"/>
      <color rgb="001F2937"/>
      <sz val="10"/>
    </font>
    <font>
      <name val="Calibri"/>
      <b val="1"/>
      <color rgb="001F2937"/>
      <sz val="10"/>
    </font>
    <font>
      <name val="Consolas"/>
      <sz val="10"/>
    </font>
    <font>
      <name val="Calibri"/>
      <color rgb="006B7280"/>
      <sz val="9"/>
    </font>
    <font>
      <sz val="10"/>
    </font>
  </fonts>
  <fills count="8">
    <fill>
      <patternFill/>
    </fill>
    <fill>
      <patternFill patternType="gray125"/>
    </fill>
    <fill>
      <patternFill patternType="solid">
        <fgColor rgb="001F3355"/>
      </patternFill>
    </fill>
    <fill>
      <patternFill patternType="solid">
        <fgColor rgb="00FFF3CD"/>
      </patternFill>
    </fill>
    <fill>
      <patternFill patternType="solid">
        <fgColor rgb="00EEF2F7"/>
      </patternFill>
    </fill>
    <fill>
      <patternFill patternType="solid">
        <fgColor rgb="00FFF7DB"/>
      </patternFill>
    </fill>
    <fill>
      <patternFill patternType="solid">
        <fgColor rgb="00D9E2EC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BFCBD9"/>
      </left>
      <right style="thin">
        <color rgb="00BFCBD9"/>
      </right>
      <top style="thin">
        <color rgb="00BFCBD9"/>
      </top>
      <bottom style="thin">
        <color rgb="00BFCBD9"/>
      </bottom>
    </border>
  </borders>
  <cellStyleXfs count="1">
    <xf numFmtId="0" fontId="0" fillId="0" borderId="0"/>
  </cellStyleXfs>
  <cellXfs count="37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0" fillId="2" borderId="0" pivotButton="0" quotePrefix="0" xfId="0"/>
    <xf numFmtId="0" fontId="2" fillId="2" borderId="0" pivotButton="0" quotePrefix="0" xfId="0"/>
    <xf numFmtId="0" fontId="3" fillId="3" borderId="0" applyAlignment="1" pivotButton="0" quotePrefix="0" xfId="0">
      <alignment vertical="center" indent="1"/>
    </xf>
    <xf numFmtId="0" fontId="4" fillId="4" borderId="0" pivotButton="0" quotePrefix="0" xfId="0"/>
    <xf numFmtId="0" fontId="0" fillId="4" borderId="0" pivotButton="0" quotePrefix="0" xfId="0"/>
    <xf numFmtId="0" fontId="5" fillId="0" borderId="0" pivotButton="0" quotePrefix="0" xfId="0"/>
    <xf numFmtId="164" fontId="6" fillId="5" borderId="1" pivotButton="0" quotePrefix="0" xfId="0"/>
    <xf numFmtId="0" fontId="7" fillId="0" borderId="0" pivotButton="0" quotePrefix="0" xfId="0"/>
    <xf numFmtId="0" fontId="6" fillId="0" borderId="1" pivotButton="0" quotePrefix="0" xfId="0"/>
    <xf numFmtId="4" fontId="6" fillId="0" borderId="1" pivotButton="0" quotePrefix="0" xfId="0"/>
    <xf numFmtId="0" fontId="6" fillId="5" borderId="1" applyAlignment="1" pivotButton="0" quotePrefix="0" xfId="0">
      <alignment vertical="center" indent="1"/>
    </xf>
    <xf numFmtId="0" fontId="7" fillId="0" borderId="0" applyAlignment="1" pivotButton="0" quotePrefix="0" xfId="0">
      <alignment vertical="top" wrapText="1"/>
    </xf>
    <xf numFmtId="0" fontId="4" fillId="0" borderId="0" pivotButton="0" quotePrefix="0" xfId="0"/>
    <xf numFmtId="0" fontId="8" fillId="0" borderId="0" applyAlignment="1" pivotButton="0" quotePrefix="0" xfId="0">
      <alignment vertical="center"/>
    </xf>
    <xf numFmtId="4" fontId="10" fillId="0" borderId="0" pivotButton="0" quotePrefix="0" xfId="0"/>
    <xf numFmtId="0" fontId="9" fillId="0" borderId="0" applyAlignment="1" pivotButton="0" quotePrefix="0" xfId="0">
      <alignment vertical="center"/>
    </xf>
    <xf numFmtId="0" fontId="11" fillId="6" borderId="1" applyAlignment="1" pivotButton="0" quotePrefix="0" xfId="0">
      <alignment horizontal="center" vertical="center" wrapText="1"/>
    </xf>
    <xf numFmtId="0" fontId="12" fillId="7" borderId="1" applyAlignment="1" pivotButton="0" quotePrefix="0" xfId="0">
      <alignment horizontal="center"/>
    </xf>
    <xf numFmtId="0" fontId="12" fillId="7" borderId="1" pivotButton="0" quotePrefix="0" xfId="0"/>
    <xf numFmtId="49" fontId="12" fillId="7" borderId="1" applyAlignment="1" pivotButton="0" quotePrefix="0" xfId="0">
      <alignment horizontal="left"/>
    </xf>
    <xf numFmtId="3" fontId="12" fillId="5" borderId="1" pivotButton="0" quotePrefix="0" xfId="0"/>
    <xf numFmtId="4" fontId="11" fillId="7" borderId="1" pivotButton="0" quotePrefix="0" xfId="0"/>
    <xf numFmtId="0" fontId="13" fillId="0" borderId="0" applyAlignment="1" pivotButton="0" quotePrefix="0" xfId="0">
      <alignment horizontal="center"/>
    </xf>
    <xf numFmtId="0" fontId="15" fillId="0" borderId="0" pivotButton="0" quotePrefix="0" xfId="0"/>
    <xf numFmtId="0" fontId="14" fillId="0" borderId="0" pivotButton="0" quotePrefix="0" xfId="0"/>
    <xf numFmtId="0" fontId="11" fillId="6" borderId="1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center"/>
    </xf>
    <xf numFmtId="0" fontId="13" fillId="0" borderId="0" pivotButton="0" quotePrefix="0" xfId="0"/>
    <xf numFmtId="0" fontId="5" fillId="0" borderId="1" pivotButton="0" quotePrefix="0" xfId="0"/>
    <xf numFmtId="0" fontId="6" fillId="5" borderId="1" pivotButton="0" quotePrefix="0" xfId="0"/>
    <xf numFmtId="0" fontId="18" fillId="0" borderId="1" pivotButton="0" quotePrefix="0" xfId="0"/>
    <xf numFmtId="0" fontId="18" fillId="0" borderId="1" applyAlignment="1" pivotButton="0" quotePrefix="0" xfId="0">
      <alignment vertical="top" wrapText="1"/>
    </xf>
    <xf numFmtId="0" fontId="11" fillId="0" borderId="0" pivotButton="0" quotePrefix="0" xfId="0"/>
    <xf numFmtId="0" fontId="5" fillId="0" borderId="0" applyAlignment="1" pivotButton="0" quotePrefix="0" xfId="0">
      <alignment vertical="top" wrapText="1"/>
    </xf>
  </cellXfs>
  <cellStyles count="1">
    <cellStyle name="Normal" xfId="0" builtinId="0" hidden="0"/>
  </cellStyles>
  <dxfs count="2">
    <dxf>
      <font>
        <b val="1"/>
        <color rgb="009C0006"/>
      </font>
      <fill>
        <patternFill patternType="solid">
          <fgColor rgb="00FFC7CE"/>
        </patternFill>
      </fill>
    </dxf>
    <dxf>
      <font>
        <b val="1"/>
        <color rgb="00006100"/>
      </font>
      <fill>
        <patternFill patternType="solid">
          <f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4</xdr:row>
      <xdr:rowOff>0</xdr:rowOff>
    </xdr:from>
    <xdr:ext cx="2032000" cy="381000"/>
    <xdr:sp macro="[0]!GenerateTTUM" textlink="">
      <xdr:nvSpPr>
        <xdr:cNvPr id="2" name="btnTT0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1F3355"/>
        </a:solidFill>
        <a:ln w="12700">
          <a:solidFill>
            <a:srgbClr val="16283F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Calibri"/>
            </a:rPr>
            <a:t>Generate TTUM File</a:t>
          </a:r>
        </a:p>
      </xdr:txBody>
    </xdr:sp>
    <xdr:clientData/>
  </xdr:oneCellAnchor>
  <xdr:oneCellAnchor>
    <xdr:from>
      <xdr:col>7</xdr:col>
      <xdr:colOff>0</xdr:colOff>
      <xdr:row>4</xdr:row>
      <xdr:rowOff>482600</xdr:rowOff>
    </xdr:from>
    <xdr:ext cx="2032000" cy="381000"/>
    <xdr:sp macro="[0]!PreviewTTUM" textlink="">
      <xdr:nvSpPr>
        <xdr:cNvPr id="3" name="btnTT1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Preview Records</a:t>
          </a:r>
        </a:p>
      </xdr:txBody>
    </xdr:sp>
    <xdr:clientData/>
  </xdr:oneCellAnchor>
  <xdr:oneCellAnchor>
    <xdr:from>
      <xdr:col>7</xdr:col>
      <xdr:colOff>0</xdr:colOff>
      <xdr:row>4</xdr:row>
      <xdr:rowOff>965200</xdr:rowOff>
    </xdr:from>
    <xdr:ext cx="2032000" cy="381000"/>
    <xdr:sp macro="[0]!ValidateEntries" textlink="">
      <xdr:nvSpPr>
        <xdr:cNvPr id="4" name="btnTT2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Validate Entries</a:t>
          </a:r>
        </a:p>
      </xdr:txBody>
    </xdr:sp>
    <xdr:clientData/>
  </xdr:oneCellAnchor>
  <xdr:oneCellAnchor>
    <xdr:from>
      <xdr:col>7</xdr:col>
      <xdr:colOff>0</xdr:colOff>
      <xdr:row>4</xdr:row>
      <xdr:rowOff>1447800</xdr:rowOff>
    </xdr:from>
    <xdr:ext cx="2032000" cy="381000"/>
    <xdr:sp macro="[0]!ResetDateToToday" textlink="">
      <xdr:nvSpPr>
        <xdr:cNvPr id="5" name="btnTT3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Reset Date to Today</a:t>
          </a:r>
        </a:p>
      </xdr:txBody>
    </xdr:sp>
    <xdr:clientData/>
  </xdr:oneCellAnchor>
  <xdr:oneCellAnchor>
    <xdr:from>
      <xdr:col>7</xdr:col>
      <xdr:colOff>0</xdr:colOff>
      <xdr:row>4</xdr:row>
      <xdr:rowOff>1930400</xdr:rowOff>
    </xdr:from>
    <xdr:ext cx="2032000" cy="381000"/>
    <xdr:sp macro="[0]!ClearAmounts" textlink="">
      <xdr:nvSpPr>
        <xdr:cNvPr id="6" name="btnTT4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Clear Amounts</a:t>
          </a:r>
        </a:p>
      </xdr:txBody>
    </xdr:sp>
    <xdr:clientData/>
  </xdr:oneCellAnchor>
  <xdr:oneCellAnchor>
    <xdr:from>
      <xdr:col>7</xdr:col>
      <xdr:colOff>0</xdr:colOff>
      <xdr:row>4</xdr:row>
      <xdr:rowOff>2413000</xdr:rowOff>
    </xdr:from>
    <xdr:ext cx="2032000" cy="381000"/>
    <xdr:sp macro="[0]!BrowseOutputFolder" textlink="">
      <xdr:nvSpPr>
        <xdr:cNvPr id="7" name="btnTT5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Choose Output Folder...</a:t>
          </a:r>
        </a:p>
      </xdr:txBody>
    </xdr:sp>
    <xdr:clientData/>
  </xdr:oneCellAnchor>
  <xdr:oneCellAnchor>
    <xdr:from>
      <xdr:col>7</xdr:col>
      <xdr:colOff>0</xdr:colOff>
      <xdr:row>4</xdr:row>
      <xdr:rowOff>2895600</xdr:rowOff>
    </xdr:from>
    <xdr:ext cx="2032000" cy="381000"/>
    <xdr:sp macro="[0]!OpenOutputFolder" textlink="">
      <xdr:nvSpPr>
        <xdr:cNvPr id="8" name="btnTT6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Open Output Folder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Dashboard">
    <outlinePr summaryBelow="1" summaryRight="1"/>
    <pageSetUpPr/>
  </sheetPr>
  <dimension ref="A1:H2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4" customWidth="1" min="2" max="2"/>
    <col width="46" customWidth="1" min="3" max="3"/>
    <col width="2.5" customWidth="1" min="4" max="4"/>
    <col width="2.5" customWidth="1" min="5" max="5"/>
    <col width="2.5" customWidth="1" min="6" max="6"/>
    <col width="2.5" customWidth="1" min="7" max="7"/>
    <col width="30" customWidth="1" min="8" max="8"/>
  </cols>
  <sheetData>
    <row r="1" ht="30" customHeight="1">
      <c r="A1" s="1" t="inlineStr">
        <is>
          <t xml:space="preserve">   TTUM GENERATOR</t>
        </is>
      </c>
      <c r="B1" s="2" t="n"/>
      <c r="C1" s="2" t="n"/>
      <c r="D1" s="2" t="n"/>
      <c r="E1" s="2" t="n"/>
      <c r="F1" s="2" t="n"/>
      <c r="G1" s="2" t="n"/>
      <c r="H1" s="2" t="n"/>
    </row>
    <row r="2" ht="16" customHeight="1">
      <c r="A2" s="3" t="inlineStr">
        <is>
          <t xml:space="preserve">   Enter the day's amounts on the Entries sheet, check the date, then click Generate.</t>
        </is>
      </c>
      <c r="B2" s="2" t="n"/>
      <c r="C2" s="2" t="n"/>
      <c r="D2" s="2" t="n"/>
      <c r="E2" s="2" t="n"/>
      <c r="F2" s="2" t="n"/>
      <c r="G2" s="2" t="n"/>
      <c r="H2" s="2" t="n"/>
    </row>
    <row r="3" ht="20" customHeight="1">
      <c r="B3" s="4" t="inlineStr">
        <is>
          <t>Buttons doing nothing?  Close Excel, right-click this file in File Explorer, Properties, tick Unblock, reopen.  Full list on the Setup sheet.</t>
        </is>
      </c>
    </row>
    <row r="5">
      <c r="B5" s="5" t="inlineStr">
        <is>
          <t>STEP 1   Set the date</t>
        </is>
      </c>
      <c r="C5" s="6" t="n"/>
    </row>
    <row r="6">
      <c r="B6" s="7" t="inlineStr">
        <is>
          <t>Value date  (goes into every record)</t>
        </is>
      </c>
      <c r="C6" s="8">
        <f>TODAY()</f>
        <v/>
      </c>
    </row>
    <row r="7">
      <c r="B7" s="7" t="inlineStr">
        <is>
          <t>File-name date  (offset is set on Config)</t>
        </is>
      </c>
      <c r="C7" s="8">
        <f>ttValueDate+ttFileDateOffset</f>
        <v/>
      </c>
    </row>
    <row r="8">
      <c r="B8" s="9" t="inlineStr">
        <is>
          <t>Today's date is filled in automatically. Type over it to build the file for another day.</t>
        </is>
      </c>
    </row>
    <row r="10">
      <c r="B10" s="5" t="inlineStr">
        <is>
          <t>STEP 2   Enter the amounts on the Entries sheet</t>
        </is>
      </c>
      <c r="C10" s="6" t="n"/>
    </row>
    <row r="11">
      <c r="B11" s="7" t="inlineStr">
        <is>
          <t>Rows included</t>
        </is>
      </c>
      <c r="C11" s="10">
        <f>COUNTIF(Entries!$A$5:$A$104,"Yes")</f>
        <v/>
      </c>
    </row>
    <row r="12">
      <c r="B12" s="7" t="inlineStr">
        <is>
          <t>Total debit</t>
        </is>
      </c>
      <c r="C12" s="11">
        <f>Entries!$J$1</f>
        <v/>
      </c>
    </row>
    <row r="13">
      <c r="B13" s="7" t="inlineStr">
        <is>
          <t>Total credit</t>
        </is>
      </c>
      <c r="C13" s="11">
        <f>Entries!$J$2</f>
        <v/>
      </c>
    </row>
    <row r="14">
      <c r="B14" s="7" t="inlineStr">
        <is>
          <t>Difference  (must be 0.00)</t>
        </is>
      </c>
      <c r="C14" s="11">
        <f>Entries!$J$3</f>
        <v/>
      </c>
    </row>
    <row r="16">
      <c r="B16" s="5" t="inlineStr">
        <is>
          <t>STEP 3   Choose where the file goes, then generate</t>
        </is>
      </c>
      <c r="C16" s="6" t="n"/>
    </row>
    <row r="17" ht="20" customHeight="1">
      <c r="B17" s="7" t="inlineStr">
        <is>
          <t>Output folder</t>
        </is>
      </c>
      <c r="C17" s="12" t="n"/>
    </row>
    <row r="18" ht="26" customHeight="1">
      <c r="B18" s="13" t="inlineStr">
        <is>
          <t>Type or paste a full folder path here, for example  D:\TTUM\Daily  -  or click Choose Output Folder. Left blank, files go to a TTUM_Output folder beside this workbook.</t>
        </is>
      </c>
    </row>
    <row r="19">
      <c r="B19" s="7" t="inlineStr">
        <is>
          <t>File name</t>
        </is>
      </c>
      <c r="C19" s="10">
        <f>SUBSTITUTE(SUBSTITUTE(SUBSTITUTE(ttFileNamePattern,"{DDMMYYYY}",TEXT(ttFileDate,"ddmmyyyy")),"{DDMMYY}",TEXT(ttFileDate,"ddmmyy")),"{YYYY}",TEXT(ttFileDate,"yyyy"))</f>
        <v/>
      </c>
    </row>
    <row r="21">
      <c r="B21" s="14" t="inlineStr">
        <is>
          <t>Status</t>
        </is>
      </c>
    </row>
    <row r="22" ht="22" customHeight="1">
      <c r="B22" s="15" t="inlineStr">
        <is>
          <t>Ready.</t>
        </is>
      </c>
    </row>
    <row r="24">
      <c r="B24" s="9" t="inlineStr">
        <is>
          <t>Every button is also on the Alt+F8 macro list, and the Text Output sheet builds the same file with no macros at all.</t>
        </is>
      </c>
    </row>
  </sheetData>
  <mergeCells count="7">
    <mergeCell ref="B22:H22"/>
    <mergeCell ref="A2:H2"/>
    <mergeCell ref="B24:H24"/>
    <mergeCell ref="A1:H1"/>
    <mergeCell ref="B18:C18"/>
    <mergeCell ref="B3:H3"/>
    <mergeCell ref="B8:C8"/>
  </mergeCells>
  <conditionalFormatting sqref="C14">
    <cfRule type="cellIs" priority="1" operator="notEqual" dxfId="0">
      <formula>0</formula>
    </cfRule>
    <cfRule type="cellIs" priority="2" operator="equal" dxfId="1">
      <formula>0</formula>
    </cfRule>
  </conditionalFormatting>
  <pageMargins left="0.75" right="0.75" top="1" bottom="1" header="0.5" footer="0.5"/>
  <drawing r:id="rIdDrawing"/>
</worksheet>
</file>

<file path=xl/worksheets/sheet2.xml><?xml version="1.0" encoding="utf-8"?>
<worksheet xmlns="http://schemas.openxmlformats.org/spreadsheetml/2006/main">
  <sheetPr codeName="shEntries">
    <outlinePr summaryBelow="1" summaryRight="1"/>
    <pageSetUpPr/>
  </sheetPr>
  <dimension ref="A1:J10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28" customWidth="1" min="2" max="2"/>
    <col width="18" customWidth="1" min="3" max="3"/>
    <col width="8" customWidth="1" min="4" max="4"/>
    <col width="20" customWidth="1" min="5" max="5"/>
    <col width="42" customWidth="1" min="6" max="6"/>
    <col width="16" customWidth="1" min="7" max="7"/>
    <col width="6" customWidth="1" min="8" max="8"/>
    <col width="14" customWidth="1" min="9" max="9"/>
    <col width="14" customWidth="1" min="10" max="10"/>
  </cols>
  <sheetData>
    <row r="1" ht="30" customHeight="1">
      <c r="A1" s="1" t="inlineStr">
        <is>
          <t xml:space="preserve">   DAILY TTUM ENTRIES</t>
        </is>
      </c>
      <c r="B1" s="2" t="n"/>
      <c r="C1" s="2" t="n"/>
      <c r="D1" s="2" t="n"/>
      <c r="E1" s="2" t="n"/>
      <c r="F1" s="2" t="n"/>
      <c r="G1" s="2" t="n"/>
      <c r="I1" s="9" t="inlineStr">
        <is>
          <t>Total debit</t>
        </is>
      </c>
      <c r="J1" s="16">
        <f>SUMIFS($E$5:$E$104,$D$5:$D$104,"D",$A$5:$A$104,"Yes")/IF(ttAmountUnit="Paise",100,1)</f>
        <v/>
      </c>
    </row>
    <row r="2" ht="16" customHeight="1">
      <c r="A2" s="3" t="inlineStr">
        <is>
          <t xml:space="preserve">   Type today's amount and Dr/Cr against each line. Blank rows are ignored.</t>
        </is>
      </c>
      <c r="B2" s="2" t="n"/>
      <c r="C2" s="2" t="n"/>
      <c r="D2" s="2" t="n"/>
      <c r="E2" s="2" t="n"/>
      <c r="F2" s="2" t="n"/>
      <c r="G2" s="2" t="n"/>
      <c r="I2" s="9" t="inlineStr">
        <is>
          <t>Total credit</t>
        </is>
      </c>
      <c r="J2" s="16">
        <f>SUMIFS($E$5:$E$104,$D$5:$D$104,"C",$A$5:$A$104,"Yes")/IF(ttAmountUnit="Paise",100,1)</f>
        <v/>
      </c>
    </row>
    <row r="3" ht="20" customHeight="1">
      <c r="A3" s="17">
        <f>"Total debit  "&amp;TEXT($J$1,"#,##0.00")&amp;"      Total credit  "&amp;TEXT($J$2,"#,##0.00")&amp;"      Difference  "&amp;TEXT($J$3,"#,##0.00")&amp;IF($J$3=0,"    (balanced)","    &lt;&lt;&lt; THESE MUST MATCH")</f>
        <v/>
      </c>
      <c r="I3" s="9" t="inlineStr">
        <is>
          <t>Difference</t>
        </is>
      </c>
      <c r="J3" s="16">
        <f>$J$1-$J$2</f>
        <v/>
      </c>
    </row>
    <row r="4" ht="28" customHeight="1">
      <c r="A4" s="18" t="inlineStr">
        <is>
          <t>Include</t>
        </is>
      </c>
      <c r="B4" s="18" t="inlineStr">
        <is>
          <t>Description</t>
        </is>
      </c>
      <c r="C4" s="18" t="inlineStr">
        <is>
          <t>Account Number</t>
        </is>
      </c>
      <c r="D4" s="18" t="inlineStr">
        <is>
          <t>Dr/Cr</t>
        </is>
      </c>
      <c r="E4" s="18" t="inlineStr">
        <is>
          <t>Amount as keyed</t>
        </is>
      </c>
      <c r="F4" s="18" t="inlineStr">
        <is>
          <t>Narration template</t>
        </is>
      </c>
      <c r="G4" s="18" t="inlineStr">
        <is>
          <t>Reads as (INR)</t>
        </is>
      </c>
      <c r="H4" s="18" t="inlineStr">
        <is>
          <t>Seq</t>
        </is>
      </c>
    </row>
    <row r="5">
      <c r="A5" s="19" t="inlineStr">
        <is>
          <t>Yes</t>
        </is>
      </c>
      <c r="B5" s="20" t="inlineStr">
        <is>
          <t>VI settlement</t>
        </is>
      </c>
      <c r="C5" s="21" t="inlineStr">
        <is>
          <t>00993562511731</t>
        </is>
      </c>
      <c r="D5" s="19" t="inlineStr">
        <is>
          <t>D</t>
        </is>
      </c>
      <c r="E5" s="22" t="n"/>
      <c r="F5" s="20" t="inlineStr">
        <is>
          <t>PROPELG VI settlement {DDMMYY}</t>
        </is>
      </c>
      <c r="G5" s="23">
        <f>IF($E5="","",$E5/IF(ttAmountUnit="Paise",100,1))</f>
        <v/>
      </c>
      <c r="H5" s="24">
        <f>IF(AND($A5="Yes",$E5&lt;&gt;""),SUMPRODUCT(($A$5:$A5="Yes")*($E$5:$E5&lt;&gt;"")),"")</f>
        <v/>
      </c>
    </row>
    <row r="6">
      <c r="A6" s="19" t="inlineStr">
        <is>
          <t>Yes</t>
        </is>
      </c>
      <c r="B6" s="20" t="inlineStr">
        <is>
          <t>MC settlement</t>
        </is>
      </c>
      <c r="C6" s="21" t="inlineStr">
        <is>
          <t>00993562511732</t>
        </is>
      </c>
      <c r="D6" s="19" t="inlineStr">
        <is>
          <t>D</t>
        </is>
      </c>
      <c r="E6" s="22" t="n"/>
      <c r="F6" s="20" t="inlineStr">
        <is>
          <t>PROPELG MC settlement {DDMMYY}</t>
        </is>
      </c>
      <c r="G6" s="23">
        <f>IF($E6="","",$E6/IF(ttAmountUnit="Paise",100,1))</f>
        <v/>
      </c>
      <c r="H6" s="24">
        <f>IF(AND($A6="Yes",$E6&lt;&gt;""),SUMPRODUCT(($A$5:$A6="Yes")*($E$5:$E6&lt;&gt;"")),"")</f>
        <v/>
      </c>
    </row>
    <row r="7">
      <c r="A7" s="19" t="inlineStr">
        <is>
          <t>Yes</t>
        </is>
      </c>
      <c r="B7" s="20" t="inlineStr">
        <is>
          <t>MC commission received</t>
        </is>
      </c>
      <c r="C7" s="21" t="inlineStr">
        <is>
          <t>00993564610119</t>
        </is>
      </c>
      <c r="D7" s="19" t="inlineStr">
        <is>
          <t>C</t>
        </is>
      </c>
      <c r="E7" s="22" t="n"/>
      <c r="F7" s="20" t="inlineStr">
        <is>
          <t>PROPELG MC comm recd {DDMMYY}</t>
        </is>
      </c>
      <c r="G7" s="23">
        <f>IF($E7="","",$E7/IF(ttAmountUnit="Paise",100,1))</f>
        <v/>
      </c>
      <c r="H7" s="24">
        <f>IF(AND($A7="Yes",$E7&lt;&gt;""),SUMPRODUCT(($A$5:$A7="Yes")*($E$5:$E7&lt;&gt;"")),"")</f>
        <v/>
      </c>
    </row>
    <row r="8">
      <c r="A8" s="19" t="inlineStr">
        <is>
          <t>Yes</t>
        </is>
      </c>
      <c r="B8" s="20" t="inlineStr">
        <is>
          <t>VI commission received</t>
        </is>
      </c>
      <c r="C8" s="21" t="inlineStr">
        <is>
          <t>00993564610122</t>
        </is>
      </c>
      <c r="D8" s="19" t="inlineStr">
        <is>
          <t>C</t>
        </is>
      </c>
      <c r="E8" s="22" t="n"/>
      <c r="F8" s="20" t="inlineStr">
        <is>
          <t>PROPELG VI comm recd {DDMMYY}</t>
        </is>
      </c>
      <c r="G8" s="23">
        <f>IF($E8="","",$E8/IF(ttAmountUnit="Paise",100,1))</f>
        <v/>
      </c>
      <c r="H8" s="24">
        <f>IF(AND($A8="Yes",$E8&lt;&gt;""),SUMPRODUCT(($A$5:$A8="Yes")*($E$5:$E8&lt;&gt;"")),"")</f>
        <v/>
      </c>
    </row>
    <row r="9">
      <c r="A9" s="19" t="inlineStr">
        <is>
          <t>Yes</t>
        </is>
      </c>
      <c r="B9" s="20" t="inlineStr">
        <is>
          <t>MC GST on commission</t>
        </is>
      </c>
      <c r="C9" s="21" t="inlineStr">
        <is>
          <t>00993564610119</t>
        </is>
      </c>
      <c r="D9" s="19" t="inlineStr">
        <is>
          <t>C</t>
        </is>
      </c>
      <c r="E9" s="22" t="n"/>
      <c r="F9" s="20" t="inlineStr">
        <is>
          <t>PROPELG MC GST comm recd {DDMMYY}</t>
        </is>
      </c>
      <c r="G9" s="23">
        <f>IF($E9="","",$E9/IF(ttAmountUnit="Paise",100,1))</f>
        <v/>
      </c>
      <c r="H9" s="24">
        <f>IF(AND($A9="Yes",$E9&lt;&gt;""),SUMPRODUCT(($A$5:$A9="Yes")*($E$5:$E9&lt;&gt;"")),"")</f>
        <v/>
      </c>
    </row>
    <row r="10">
      <c r="A10" s="19" t="inlineStr">
        <is>
          <t>Yes</t>
        </is>
      </c>
      <c r="B10" s="20" t="inlineStr">
        <is>
          <t>VI GST on commission</t>
        </is>
      </c>
      <c r="C10" s="21" t="inlineStr">
        <is>
          <t>00993564610122</t>
        </is>
      </c>
      <c r="D10" s="19" t="inlineStr">
        <is>
          <t>C</t>
        </is>
      </c>
      <c r="E10" s="22" t="n"/>
      <c r="F10" s="20" t="inlineStr">
        <is>
          <t>PROPELG VI GST comm recd {DDMMYY}</t>
        </is>
      </c>
      <c r="G10" s="23">
        <f>IF($E10="","",$E10/IF(ttAmountUnit="Paise",100,1))</f>
        <v/>
      </c>
      <c r="H10" s="24">
        <f>IF(AND($A10="Yes",$E10&lt;&gt;""),SUMPRODUCT(($A$5:$A10="Yes")*($E$5:$E10&lt;&gt;"")),"")</f>
        <v/>
      </c>
    </row>
    <row r="11">
      <c r="A11" s="19" t="inlineStr">
        <is>
          <t>Yes</t>
        </is>
      </c>
      <c r="B11" s="20" t="inlineStr">
        <is>
          <t>MC Non-GST commission</t>
        </is>
      </c>
      <c r="C11" s="21" t="inlineStr">
        <is>
          <t>00993564610119</t>
        </is>
      </c>
      <c r="D11" s="19" t="inlineStr">
        <is>
          <t>C</t>
        </is>
      </c>
      <c r="E11" s="22" t="n"/>
      <c r="F11" s="20" t="inlineStr">
        <is>
          <t>PROPELG MC Non GST comm recd {DDMMYY}</t>
        </is>
      </c>
      <c r="G11" s="23">
        <f>IF($E11="","",$E11/IF(ttAmountUnit="Paise",100,1))</f>
        <v/>
      </c>
      <c r="H11" s="24">
        <f>IF(AND($A11="Yes",$E11&lt;&gt;""),SUMPRODUCT(($A$5:$A11="Yes")*($E$5:$E11&lt;&gt;"")),"")</f>
        <v/>
      </c>
    </row>
    <row r="12">
      <c r="A12" s="19" t="inlineStr">
        <is>
          <t>Yes</t>
        </is>
      </c>
      <c r="B12" s="20" t="inlineStr">
        <is>
          <t>VI Non-GST commission</t>
        </is>
      </c>
      <c r="C12" s="21" t="inlineStr">
        <is>
          <t>00993564610122</t>
        </is>
      </c>
      <c r="D12" s="19" t="inlineStr">
        <is>
          <t>C</t>
        </is>
      </c>
      <c r="E12" s="22" t="n"/>
      <c r="F12" s="20" t="inlineStr">
        <is>
          <t>PROPELG VI Non GST comm recd {DDMMYY}</t>
        </is>
      </c>
      <c r="G12" s="23">
        <f>IF($E12="","",$E12/IF(ttAmountUnit="Paise",100,1))</f>
        <v/>
      </c>
      <c r="H12" s="24">
        <f>IF(AND($A12="Yes",$E12&lt;&gt;""),SUMPRODUCT(($A$5:$A12="Yes")*($E$5:$E12&lt;&gt;"")),"")</f>
        <v/>
      </c>
    </row>
    <row r="13">
      <c r="A13" s="19" t="inlineStr">
        <is>
          <t>Yes</t>
        </is>
      </c>
      <c r="B13" s="20" t="inlineStr">
        <is>
          <t>Net settlement to Prp India</t>
        </is>
      </c>
      <c r="C13" s="21" t="inlineStr">
        <is>
          <t>200999103427</t>
        </is>
      </c>
      <c r="D13" s="19" t="inlineStr">
        <is>
          <t>C</t>
        </is>
      </c>
      <c r="E13" s="22" t="n"/>
      <c r="F13" s="20" t="inlineStr">
        <is>
          <t>PROPELG-TXN Prp India {DDMMYY} {DDMMYY}</t>
        </is>
      </c>
      <c r="G13" s="23">
        <f>IF($E13="","",$E13/IF(ttAmountUnit="Paise",100,1))</f>
        <v/>
      </c>
      <c r="H13" s="24">
        <f>IF(AND($A13="Yes",$E13&lt;&gt;""),SUMPRODUCT(($A$5:$A13="Yes")*($E$5:$E13&lt;&gt;"")),"")</f>
        <v/>
      </c>
    </row>
    <row r="14">
      <c r="A14" s="19" t="n"/>
      <c r="B14" s="20" t="n"/>
      <c r="C14" s="21" t="n"/>
      <c r="D14" s="19" t="n"/>
      <c r="E14" s="22" t="n"/>
      <c r="F14" s="20" t="n"/>
      <c r="G14" s="23">
        <f>IF($E14="","",$E14/IF(ttAmountUnit="Paise",100,1))</f>
        <v/>
      </c>
      <c r="H14" s="24">
        <f>IF(AND($A14="Yes",$E14&lt;&gt;""),SUMPRODUCT(($A$5:$A14="Yes")*($E$5:$E14&lt;&gt;"")),"")</f>
        <v/>
      </c>
    </row>
    <row r="15">
      <c r="A15" s="19" t="n"/>
      <c r="B15" s="20" t="n"/>
      <c r="C15" s="21" t="n"/>
      <c r="D15" s="19" t="n"/>
      <c r="E15" s="22" t="n"/>
      <c r="F15" s="20" t="n"/>
      <c r="G15" s="23">
        <f>IF($E15="","",$E15/IF(ttAmountUnit="Paise",100,1))</f>
        <v/>
      </c>
      <c r="H15" s="24">
        <f>IF(AND($A15="Yes",$E15&lt;&gt;""),SUMPRODUCT(($A$5:$A15="Yes")*($E$5:$E15&lt;&gt;"")),"")</f>
        <v/>
      </c>
    </row>
    <row r="16">
      <c r="A16" s="19" t="n"/>
      <c r="B16" s="20" t="n"/>
      <c r="C16" s="21" t="n"/>
      <c r="D16" s="19" t="n"/>
      <c r="E16" s="22" t="n"/>
      <c r="F16" s="20" t="n"/>
      <c r="G16" s="23">
        <f>IF($E16="","",$E16/IF(ttAmountUnit="Paise",100,1))</f>
        <v/>
      </c>
      <c r="H16" s="24">
        <f>IF(AND($A16="Yes",$E16&lt;&gt;""),SUMPRODUCT(($A$5:$A16="Yes")*($E$5:$E16&lt;&gt;"")),"")</f>
        <v/>
      </c>
    </row>
    <row r="17">
      <c r="A17" s="19" t="n"/>
      <c r="B17" s="20" t="n"/>
      <c r="C17" s="21" t="n"/>
      <c r="D17" s="19" t="n"/>
      <c r="E17" s="22" t="n"/>
      <c r="F17" s="20" t="n"/>
      <c r="G17" s="23">
        <f>IF($E17="","",$E17/IF(ttAmountUnit="Paise",100,1))</f>
        <v/>
      </c>
      <c r="H17" s="24">
        <f>IF(AND($A17="Yes",$E17&lt;&gt;""),SUMPRODUCT(($A$5:$A17="Yes")*($E$5:$E17&lt;&gt;"")),"")</f>
        <v/>
      </c>
    </row>
    <row r="18">
      <c r="A18" s="19" t="n"/>
      <c r="B18" s="20" t="n"/>
      <c r="C18" s="21" t="n"/>
      <c r="D18" s="19" t="n"/>
      <c r="E18" s="22" t="n"/>
      <c r="F18" s="20" t="n"/>
      <c r="G18" s="23">
        <f>IF($E18="","",$E18/IF(ttAmountUnit="Paise",100,1))</f>
        <v/>
      </c>
      <c r="H18" s="24">
        <f>IF(AND($A18="Yes",$E18&lt;&gt;""),SUMPRODUCT(($A$5:$A18="Yes")*($E$5:$E18&lt;&gt;"")),"")</f>
        <v/>
      </c>
    </row>
    <row r="19">
      <c r="A19" s="19" t="n"/>
      <c r="B19" s="20" t="n"/>
      <c r="C19" s="21" t="n"/>
      <c r="D19" s="19" t="n"/>
      <c r="E19" s="22" t="n"/>
      <c r="F19" s="20" t="n"/>
      <c r="G19" s="23">
        <f>IF($E19="","",$E19/IF(ttAmountUnit="Paise",100,1))</f>
        <v/>
      </c>
      <c r="H19" s="24">
        <f>IF(AND($A19="Yes",$E19&lt;&gt;""),SUMPRODUCT(($A$5:$A19="Yes")*($E$5:$E19&lt;&gt;"")),"")</f>
        <v/>
      </c>
    </row>
    <row r="20">
      <c r="A20" s="19" t="n"/>
      <c r="B20" s="20" t="n"/>
      <c r="C20" s="21" t="n"/>
      <c r="D20" s="19" t="n"/>
      <c r="E20" s="22" t="n"/>
      <c r="F20" s="20" t="n"/>
      <c r="G20" s="23">
        <f>IF($E20="","",$E20/IF(ttAmountUnit="Paise",100,1))</f>
        <v/>
      </c>
      <c r="H20" s="24">
        <f>IF(AND($A20="Yes",$E20&lt;&gt;""),SUMPRODUCT(($A$5:$A20="Yes")*($E$5:$E20&lt;&gt;"")),"")</f>
        <v/>
      </c>
    </row>
    <row r="21">
      <c r="A21" s="19" t="n"/>
      <c r="B21" s="20" t="n"/>
      <c r="C21" s="21" t="n"/>
      <c r="D21" s="19" t="n"/>
      <c r="E21" s="22" t="n"/>
      <c r="F21" s="20" t="n"/>
      <c r="G21" s="23">
        <f>IF($E21="","",$E21/IF(ttAmountUnit="Paise",100,1))</f>
        <v/>
      </c>
      <c r="H21" s="24">
        <f>IF(AND($A21="Yes",$E21&lt;&gt;""),SUMPRODUCT(($A$5:$A21="Yes")*($E$5:$E21&lt;&gt;"")),"")</f>
        <v/>
      </c>
    </row>
    <row r="22">
      <c r="A22" s="19" t="n"/>
      <c r="B22" s="20" t="n"/>
      <c r="C22" s="21" t="n"/>
      <c r="D22" s="19" t="n"/>
      <c r="E22" s="22" t="n"/>
      <c r="F22" s="20" t="n"/>
      <c r="G22" s="23">
        <f>IF($E22="","",$E22/IF(ttAmountUnit="Paise",100,1))</f>
        <v/>
      </c>
      <c r="H22" s="24">
        <f>IF(AND($A22="Yes",$E22&lt;&gt;""),SUMPRODUCT(($A$5:$A22="Yes")*($E$5:$E22&lt;&gt;"")),"")</f>
        <v/>
      </c>
    </row>
    <row r="23">
      <c r="A23" s="19" t="n"/>
      <c r="B23" s="20" t="n"/>
      <c r="C23" s="21" t="n"/>
      <c r="D23" s="19" t="n"/>
      <c r="E23" s="22" t="n"/>
      <c r="F23" s="20" t="n"/>
      <c r="G23" s="23">
        <f>IF($E23="","",$E23/IF(ttAmountUnit="Paise",100,1))</f>
        <v/>
      </c>
      <c r="H23" s="24">
        <f>IF(AND($A23="Yes",$E23&lt;&gt;""),SUMPRODUCT(($A$5:$A23="Yes")*($E$5:$E23&lt;&gt;"")),"")</f>
        <v/>
      </c>
    </row>
    <row r="24">
      <c r="A24" s="19" t="n"/>
      <c r="B24" s="20" t="n"/>
      <c r="C24" s="21" t="n"/>
      <c r="D24" s="19" t="n"/>
      <c r="E24" s="22" t="n"/>
      <c r="F24" s="20" t="n"/>
      <c r="G24" s="23">
        <f>IF($E24="","",$E24/IF(ttAmountUnit="Paise",100,1))</f>
        <v/>
      </c>
      <c r="H24" s="24">
        <f>IF(AND($A24="Yes",$E24&lt;&gt;""),SUMPRODUCT(($A$5:$A24="Yes")*($E$5:$E24&lt;&gt;"")),"")</f>
        <v/>
      </c>
    </row>
    <row r="25">
      <c r="A25" s="19" t="n"/>
      <c r="B25" s="20" t="n"/>
      <c r="C25" s="21" t="n"/>
      <c r="D25" s="19" t="n"/>
      <c r="E25" s="22" t="n"/>
      <c r="F25" s="20" t="n"/>
      <c r="G25" s="23">
        <f>IF($E25="","",$E25/IF(ttAmountUnit="Paise",100,1))</f>
        <v/>
      </c>
      <c r="H25" s="24">
        <f>IF(AND($A25="Yes",$E25&lt;&gt;""),SUMPRODUCT(($A$5:$A25="Yes")*($E$5:$E25&lt;&gt;"")),"")</f>
        <v/>
      </c>
    </row>
    <row r="26">
      <c r="A26" s="19" t="n"/>
      <c r="B26" s="20" t="n"/>
      <c r="C26" s="21" t="n"/>
      <c r="D26" s="19" t="n"/>
      <c r="E26" s="22" t="n"/>
      <c r="F26" s="20" t="n"/>
      <c r="G26" s="23">
        <f>IF($E26="","",$E26/IF(ttAmountUnit="Paise",100,1))</f>
        <v/>
      </c>
      <c r="H26" s="24">
        <f>IF(AND($A26="Yes",$E26&lt;&gt;""),SUMPRODUCT(($A$5:$A26="Yes")*($E$5:$E26&lt;&gt;"")),"")</f>
        <v/>
      </c>
    </row>
    <row r="27">
      <c r="A27" s="19" t="n"/>
      <c r="B27" s="20" t="n"/>
      <c r="C27" s="21" t="n"/>
      <c r="D27" s="19" t="n"/>
      <c r="E27" s="22" t="n"/>
      <c r="F27" s="20" t="n"/>
      <c r="G27" s="23">
        <f>IF($E27="","",$E27/IF(ttAmountUnit="Paise",100,1))</f>
        <v/>
      </c>
      <c r="H27" s="24">
        <f>IF(AND($A27="Yes",$E27&lt;&gt;""),SUMPRODUCT(($A$5:$A27="Yes")*($E$5:$E27&lt;&gt;"")),"")</f>
        <v/>
      </c>
    </row>
    <row r="28">
      <c r="A28" s="19" t="n"/>
      <c r="B28" s="20" t="n"/>
      <c r="C28" s="21" t="n"/>
      <c r="D28" s="19" t="n"/>
      <c r="E28" s="22" t="n"/>
      <c r="F28" s="20" t="n"/>
      <c r="G28" s="23">
        <f>IF($E28="","",$E28/IF(ttAmountUnit="Paise",100,1))</f>
        <v/>
      </c>
      <c r="H28" s="24">
        <f>IF(AND($A28="Yes",$E28&lt;&gt;""),SUMPRODUCT(($A$5:$A28="Yes")*($E$5:$E28&lt;&gt;"")),"")</f>
        <v/>
      </c>
    </row>
    <row r="29">
      <c r="A29" s="19" t="n"/>
      <c r="B29" s="20" t="n"/>
      <c r="C29" s="21" t="n"/>
      <c r="D29" s="19" t="n"/>
      <c r="E29" s="22" t="n"/>
      <c r="F29" s="20" t="n"/>
      <c r="G29" s="23">
        <f>IF($E29="","",$E29/IF(ttAmountUnit="Paise",100,1))</f>
        <v/>
      </c>
      <c r="H29" s="24">
        <f>IF(AND($A29="Yes",$E29&lt;&gt;""),SUMPRODUCT(($A$5:$A29="Yes")*($E$5:$E29&lt;&gt;"")),"")</f>
        <v/>
      </c>
    </row>
    <row r="30">
      <c r="A30" s="19" t="n"/>
      <c r="B30" s="20" t="n"/>
      <c r="C30" s="21" t="n"/>
      <c r="D30" s="19" t="n"/>
      <c r="E30" s="22" t="n"/>
      <c r="F30" s="20" t="n"/>
      <c r="G30" s="23">
        <f>IF($E30="","",$E30/IF(ttAmountUnit="Paise",100,1))</f>
        <v/>
      </c>
      <c r="H30" s="24">
        <f>IF(AND($A30="Yes",$E30&lt;&gt;""),SUMPRODUCT(($A$5:$A30="Yes")*($E$5:$E30&lt;&gt;"")),"")</f>
        <v/>
      </c>
    </row>
    <row r="31">
      <c r="A31" s="19" t="n"/>
      <c r="B31" s="20" t="n"/>
      <c r="C31" s="21" t="n"/>
      <c r="D31" s="19" t="n"/>
      <c r="E31" s="22" t="n"/>
      <c r="F31" s="20" t="n"/>
      <c r="G31" s="23">
        <f>IF($E31="","",$E31/IF(ttAmountUnit="Paise",100,1))</f>
        <v/>
      </c>
      <c r="H31" s="24">
        <f>IF(AND($A31="Yes",$E31&lt;&gt;""),SUMPRODUCT(($A$5:$A31="Yes")*($E$5:$E31&lt;&gt;"")),"")</f>
        <v/>
      </c>
    </row>
    <row r="32">
      <c r="A32" s="19" t="n"/>
      <c r="B32" s="20" t="n"/>
      <c r="C32" s="21" t="n"/>
      <c r="D32" s="19" t="n"/>
      <c r="E32" s="22" t="n"/>
      <c r="F32" s="20" t="n"/>
      <c r="G32" s="23">
        <f>IF($E32="","",$E32/IF(ttAmountUnit="Paise",100,1))</f>
        <v/>
      </c>
      <c r="H32" s="24">
        <f>IF(AND($A32="Yes",$E32&lt;&gt;""),SUMPRODUCT(($A$5:$A32="Yes")*($E$5:$E32&lt;&gt;"")),"")</f>
        <v/>
      </c>
    </row>
    <row r="33">
      <c r="A33" s="19" t="n"/>
      <c r="B33" s="20" t="n"/>
      <c r="C33" s="21" t="n"/>
      <c r="D33" s="19" t="n"/>
      <c r="E33" s="22" t="n"/>
      <c r="F33" s="20" t="n"/>
      <c r="G33" s="23">
        <f>IF($E33="","",$E33/IF(ttAmountUnit="Paise",100,1))</f>
        <v/>
      </c>
      <c r="H33" s="24">
        <f>IF(AND($A33="Yes",$E33&lt;&gt;""),SUMPRODUCT(($A$5:$A33="Yes")*($E$5:$E33&lt;&gt;"")),"")</f>
        <v/>
      </c>
    </row>
    <row r="34">
      <c r="A34" s="19" t="n"/>
      <c r="B34" s="20" t="n"/>
      <c r="C34" s="21" t="n"/>
      <c r="D34" s="19" t="n"/>
      <c r="E34" s="22" t="n"/>
      <c r="F34" s="20" t="n"/>
      <c r="G34" s="23">
        <f>IF($E34="","",$E34/IF(ttAmountUnit="Paise",100,1))</f>
        <v/>
      </c>
      <c r="H34" s="24">
        <f>IF(AND($A34="Yes",$E34&lt;&gt;""),SUMPRODUCT(($A$5:$A34="Yes")*($E$5:$E34&lt;&gt;"")),"")</f>
        <v/>
      </c>
    </row>
    <row r="35">
      <c r="A35" s="19" t="n"/>
      <c r="B35" s="20" t="n"/>
      <c r="C35" s="21" t="n"/>
      <c r="D35" s="19" t="n"/>
      <c r="E35" s="22" t="n"/>
      <c r="F35" s="20" t="n"/>
      <c r="G35" s="23">
        <f>IF($E35="","",$E35/IF(ttAmountUnit="Paise",100,1))</f>
        <v/>
      </c>
      <c r="H35" s="24">
        <f>IF(AND($A35="Yes",$E35&lt;&gt;""),SUMPRODUCT(($A$5:$A35="Yes")*($E$5:$E35&lt;&gt;"")),"")</f>
        <v/>
      </c>
    </row>
    <row r="36">
      <c r="A36" s="19" t="n"/>
      <c r="B36" s="20" t="n"/>
      <c r="C36" s="21" t="n"/>
      <c r="D36" s="19" t="n"/>
      <c r="E36" s="22" t="n"/>
      <c r="F36" s="20" t="n"/>
      <c r="G36" s="23">
        <f>IF($E36="","",$E36/IF(ttAmountUnit="Paise",100,1))</f>
        <v/>
      </c>
      <c r="H36" s="24">
        <f>IF(AND($A36="Yes",$E36&lt;&gt;""),SUMPRODUCT(($A$5:$A36="Yes")*($E$5:$E36&lt;&gt;"")),"")</f>
        <v/>
      </c>
    </row>
    <row r="37">
      <c r="A37" s="19" t="n"/>
      <c r="B37" s="20" t="n"/>
      <c r="C37" s="21" t="n"/>
      <c r="D37" s="19" t="n"/>
      <c r="E37" s="22" t="n"/>
      <c r="F37" s="20" t="n"/>
      <c r="G37" s="23">
        <f>IF($E37="","",$E37/IF(ttAmountUnit="Paise",100,1))</f>
        <v/>
      </c>
      <c r="H37" s="24">
        <f>IF(AND($A37="Yes",$E37&lt;&gt;""),SUMPRODUCT(($A$5:$A37="Yes")*($E$5:$E37&lt;&gt;"")),"")</f>
        <v/>
      </c>
    </row>
    <row r="38">
      <c r="A38" s="19" t="n"/>
      <c r="B38" s="20" t="n"/>
      <c r="C38" s="21" t="n"/>
      <c r="D38" s="19" t="n"/>
      <c r="E38" s="22" t="n"/>
      <c r="F38" s="20" t="n"/>
      <c r="G38" s="23">
        <f>IF($E38="","",$E38/IF(ttAmountUnit="Paise",100,1))</f>
        <v/>
      </c>
      <c r="H38" s="24">
        <f>IF(AND($A38="Yes",$E38&lt;&gt;""),SUMPRODUCT(($A$5:$A38="Yes")*($E$5:$E38&lt;&gt;"")),"")</f>
        <v/>
      </c>
    </row>
    <row r="39">
      <c r="A39" s="19" t="n"/>
      <c r="B39" s="20" t="n"/>
      <c r="C39" s="21" t="n"/>
      <c r="D39" s="19" t="n"/>
      <c r="E39" s="22" t="n"/>
      <c r="F39" s="20" t="n"/>
      <c r="G39" s="23">
        <f>IF($E39="","",$E39/IF(ttAmountUnit="Paise",100,1))</f>
        <v/>
      </c>
      <c r="H39" s="24">
        <f>IF(AND($A39="Yes",$E39&lt;&gt;""),SUMPRODUCT(($A$5:$A39="Yes")*($E$5:$E39&lt;&gt;"")),"")</f>
        <v/>
      </c>
    </row>
    <row r="40">
      <c r="A40" s="19" t="n"/>
      <c r="B40" s="20" t="n"/>
      <c r="C40" s="21" t="n"/>
      <c r="D40" s="19" t="n"/>
      <c r="E40" s="22" t="n"/>
      <c r="F40" s="20" t="n"/>
      <c r="G40" s="23">
        <f>IF($E40="","",$E40/IF(ttAmountUnit="Paise",100,1))</f>
        <v/>
      </c>
      <c r="H40" s="24">
        <f>IF(AND($A40="Yes",$E40&lt;&gt;""),SUMPRODUCT(($A$5:$A40="Yes")*($E$5:$E40&lt;&gt;"")),"")</f>
        <v/>
      </c>
    </row>
    <row r="41">
      <c r="A41" s="19" t="n"/>
      <c r="B41" s="20" t="n"/>
      <c r="C41" s="21" t="n"/>
      <c r="D41" s="19" t="n"/>
      <c r="E41" s="22" t="n"/>
      <c r="F41" s="20" t="n"/>
      <c r="G41" s="23">
        <f>IF($E41="","",$E41/IF(ttAmountUnit="Paise",100,1))</f>
        <v/>
      </c>
      <c r="H41" s="24">
        <f>IF(AND($A41="Yes",$E41&lt;&gt;""),SUMPRODUCT(($A$5:$A41="Yes")*($E$5:$E41&lt;&gt;"")),"")</f>
        <v/>
      </c>
    </row>
    <row r="42">
      <c r="A42" s="19" t="n"/>
      <c r="B42" s="20" t="n"/>
      <c r="C42" s="21" t="n"/>
      <c r="D42" s="19" t="n"/>
      <c r="E42" s="22" t="n"/>
      <c r="F42" s="20" t="n"/>
      <c r="G42" s="23">
        <f>IF($E42="","",$E42/IF(ttAmountUnit="Paise",100,1))</f>
        <v/>
      </c>
      <c r="H42" s="24">
        <f>IF(AND($A42="Yes",$E42&lt;&gt;""),SUMPRODUCT(($A$5:$A42="Yes")*($E$5:$E42&lt;&gt;"")),"")</f>
        <v/>
      </c>
    </row>
    <row r="43">
      <c r="A43" s="19" t="n"/>
      <c r="B43" s="20" t="n"/>
      <c r="C43" s="21" t="n"/>
      <c r="D43" s="19" t="n"/>
      <c r="E43" s="22" t="n"/>
      <c r="F43" s="20" t="n"/>
      <c r="G43" s="23">
        <f>IF($E43="","",$E43/IF(ttAmountUnit="Paise",100,1))</f>
        <v/>
      </c>
      <c r="H43" s="24">
        <f>IF(AND($A43="Yes",$E43&lt;&gt;""),SUMPRODUCT(($A$5:$A43="Yes")*($E$5:$E43&lt;&gt;"")),"")</f>
        <v/>
      </c>
    </row>
    <row r="44">
      <c r="A44" s="19" t="n"/>
      <c r="B44" s="20" t="n"/>
      <c r="C44" s="21" t="n"/>
      <c r="D44" s="19" t="n"/>
      <c r="E44" s="22" t="n"/>
      <c r="F44" s="20" t="n"/>
      <c r="G44" s="23">
        <f>IF($E44="","",$E44/IF(ttAmountUnit="Paise",100,1))</f>
        <v/>
      </c>
      <c r="H44" s="24">
        <f>IF(AND($A44="Yes",$E44&lt;&gt;""),SUMPRODUCT(($A$5:$A44="Yes")*($E$5:$E44&lt;&gt;"")),"")</f>
        <v/>
      </c>
    </row>
    <row r="45">
      <c r="A45" s="19" t="n"/>
      <c r="B45" s="20" t="n"/>
      <c r="C45" s="21" t="n"/>
      <c r="D45" s="19" t="n"/>
      <c r="E45" s="22" t="n"/>
      <c r="F45" s="20" t="n"/>
      <c r="G45" s="23">
        <f>IF($E45="","",$E45/IF(ttAmountUnit="Paise",100,1))</f>
        <v/>
      </c>
      <c r="H45" s="24">
        <f>IF(AND($A45="Yes",$E45&lt;&gt;""),SUMPRODUCT(($A$5:$A45="Yes")*($E$5:$E45&lt;&gt;"")),"")</f>
        <v/>
      </c>
    </row>
    <row r="46">
      <c r="A46" s="19" t="n"/>
      <c r="B46" s="20" t="n"/>
      <c r="C46" s="21" t="n"/>
      <c r="D46" s="19" t="n"/>
      <c r="E46" s="22" t="n"/>
      <c r="F46" s="20" t="n"/>
      <c r="G46" s="23">
        <f>IF($E46="","",$E46/IF(ttAmountUnit="Paise",100,1))</f>
        <v/>
      </c>
      <c r="H46" s="24">
        <f>IF(AND($A46="Yes",$E46&lt;&gt;""),SUMPRODUCT(($A$5:$A46="Yes")*($E$5:$E46&lt;&gt;"")),"")</f>
        <v/>
      </c>
    </row>
    <row r="47">
      <c r="A47" s="19" t="n"/>
      <c r="B47" s="20" t="n"/>
      <c r="C47" s="21" t="n"/>
      <c r="D47" s="19" t="n"/>
      <c r="E47" s="22" t="n"/>
      <c r="F47" s="20" t="n"/>
      <c r="G47" s="23">
        <f>IF($E47="","",$E47/IF(ttAmountUnit="Paise",100,1))</f>
        <v/>
      </c>
      <c r="H47" s="24">
        <f>IF(AND($A47="Yes",$E47&lt;&gt;""),SUMPRODUCT(($A$5:$A47="Yes")*($E$5:$E47&lt;&gt;"")),"")</f>
        <v/>
      </c>
    </row>
    <row r="48">
      <c r="A48" s="19" t="n"/>
      <c r="B48" s="20" t="n"/>
      <c r="C48" s="21" t="n"/>
      <c r="D48" s="19" t="n"/>
      <c r="E48" s="22" t="n"/>
      <c r="F48" s="20" t="n"/>
      <c r="G48" s="23">
        <f>IF($E48="","",$E48/IF(ttAmountUnit="Paise",100,1))</f>
        <v/>
      </c>
      <c r="H48" s="24">
        <f>IF(AND($A48="Yes",$E48&lt;&gt;""),SUMPRODUCT(($A$5:$A48="Yes")*($E$5:$E48&lt;&gt;"")),"")</f>
        <v/>
      </c>
    </row>
    <row r="49">
      <c r="A49" s="19" t="n"/>
      <c r="B49" s="20" t="n"/>
      <c r="C49" s="21" t="n"/>
      <c r="D49" s="19" t="n"/>
      <c r="E49" s="22" t="n"/>
      <c r="F49" s="20" t="n"/>
      <c r="G49" s="23">
        <f>IF($E49="","",$E49/IF(ttAmountUnit="Paise",100,1))</f>
        <v/>
      </c>
      <c r="H49" s="24">
        <f>IF(AND($A49="Yes",$E49&lt;&gt;""),SUMPRODUCT(($A$5:$A49="Yes")*($E$5:$E49&lt;&gt;"")),"")</f>
        <v/>
      </c>
    </row>
    <row r="50">
      <c r="A50" s="19" t="n"/>
      <c r="B50" s="20" t="n"/>
      <c r="C50" s="21" t="n"/>
      <c r="D50" s="19" t="n"/>
      <c r="E50" s="22" t="n"/>
      <c r="F50" s="20" t="n"/>
      <c r="G50" s="23">
        <f>IF($E50="","",$E50/IF(ttAmountUnit="Paise",100,1))</f>
        <v/>
      </c>
      <c r="H50" s="24">
        <f>IF(AND($A50="Yes",$E50&lt;&gt;""),SUMPRODUCT(($A$5:$A50="Yes")*($E$5:$E50&lt;&gt;"")),"")</f>
        <v/>
      </c>
    </row>
    <row r="51">
      <c r="A51" s="19" t="n"/>
      <c r="B51" s="20" t="n"/>
      <c r="C51" s="21" t="n"/>
      <c r="D51" s="19" t="n"/>
      <c r="E51" s="22" t="n"/>
      <c r="F51" s="20" t="n"/>
      <c r="G51" s="23">
        <f>IF($E51="","",$E51/IF(ttAmountUnit="Paise",100,1))</f>
        <v/>
      </c>
      <c r="H51" s="24">
        <f>IF(AND($A51="Yes",$E51&lt;&gt;""),SUMPRODUCT(($A$5:$A51="Yes")*($E$5:$E51&lt;&gt;"")),"")</f>
        <v/>
      </c>
    </row>
    <row r="52">
      <c r="A52" s="19" t="n"/>
      <c r="B52" s="20" t="n"/>
      <c r="C52" s="21" t="n"/>
      <c r="D52" s="19" t="n"/>
      <c r="E52" s="22" t="n"/>
      <c r="F52" s="20" t="n"/>
      <c r="G52" s="23">
        <f>IF($E52="","",$E52/IF(ttAmountUnit="Paise",100,1))</f>
        <v/>
      </c>
      <c r="H52" s="24">
        <f>IF(AND($A52="Yes",$E52&lt;&gt;""),SUMPRODUCT(($A$5:$A52="Yes")*($E$5:$E52&lt;&gt;"")),"")</f>
        <v/>
      </c>
    </row>
    <row r="53">
      <c r="A53" s="19" t="n"/>
      <c r="B53" s="20" t="n"/>
      <c r="C53" s="21" t="n"/>
      <c r="D53" s="19" t="n"/>
      <c r="E53" s="22" t="n"/>
      <c r="F53" s="20" t="n"/>
      <c r="G53" s="23">
        <f>IF($E53="","",$E53/IF(ttAmountUnit="Paise",100,1))</f>
        <v/>
      </c>
      <c r="H53" s="24">
        <f>IF(AND($A53="Yes",$E53&lt;&gt;""),SUMPRODUCT(($A$5:$A53="Yes")*($E$5:$E53&lt;&gt;"")),"")</f>
        <v/>
      </c>
    </row>
    <row r="54">
      <c r="A54" s="19" t="n"/>
      <c r="B54" s="20" t="n"/>
      <c r="C54" s="21" t="n"/>
      <c r="D54" s="19" t="n"/>
      <c r="E54" s="22" t="n"/>
      <c r="F54" s="20" t="n"/>
      <c r="G54" s="23">
        <f>IF($E54="","",$E54/IF(ttAmountUnit="Paise",100,1))</f>
        <v/>
      </c>
      <c r="H54" s="24">
        <f>IF(AND($A54="Yes",$E54&lt;&gt;""),SUMPRODUCT(($A$5:$A54="Yes")*($E$5:$E54&lt;&gt;"")),"")</f>
        <v/>
      </c>
    </row>
    <row r="55">
      <c r="A55" s="19" t="n"/>
      <c r="B55" s="20" t="n"/>
      <c r="C55" s="21" t="n"/>
      <c r="D55" s="19" t="n"/>
      <c r="E55" s="22" t="n"/>
      <c r="F55" s="20" t="n"/>
      <c r="G55" s="23">
        <f>IF($E55="","",$E55/IF(ttAmountUnit="Paise",100,1))</f>
        <v/>
      </c>
      <c r="H55" s="24">
        <f>IF(AND($A55="Yes",$E55&lt;&gt;""),SUMPRODUCT(($A$5:$A55="Yes")*($E$5:$E55&lt;&gt;"")),"")</f>
        <v/>
      </c>
    </row>
    <row r="56">
      <c r="A56" s="19" t="n"/>
      <c r="B56" s="20" t="n"/>
      <c r="C56" s="21" t="n"/>
      <c r="D56" s="19" t="n"/>
      <c r="E56" s="22" t="n"/>
      <c r="F56" s="20" t="n"/>
      <c r="G56" s="23">
        <f>IF($E56="","",$E56/IF(ttAmountUnit="Paise",100,1))</f>
        <v/>
      </c>
      <c r="H56" s="24">
        <f>IF(AND($A56="Yes",$E56&lt;&gt;""),SUMPRODUCT(($A$5:$A56="Yes")*($E$5:$E56&lt;&gt;"")),"")</f>
        <v/>
      </c>
    </row>
    <row r="57">
      <c r="A57" s="19" t="n"/>
      <c r="B57" s="20" t="n"/>
      <c r="C57" s="21" t="n"/>
      <c r="D57" s="19" t="n"/>
      <c r="E57" s="22" t="n"/>
      <c r="F57" s="20" t="n"/>
      <c r="G57" s="23">
        <f>IF($E57="","",$E57/IF(ttAmountUnit="Paise",100,1))</f>
        <v/>
      </c>
      <c r="H57" s="24">
        <f>IF(AND($A57="Yes",$E57&lt;&gt;""),SUMPRODUCT(($A$5:$A57="Yes")*($E$5:$E57&lt;&gt;"")),"")</f>
        <v/>
      </c>
    </row>
    <row r="58">
      <c r="A58" s="19" t="n"/>
      <c r="B58" s="20" t="n"/>
      <c r="C58" s="21" t="n"/>
      <c r="D58" s="19" t="n"/>
      <c r="E58" s="22" t="n"/>
      <c r="F58" s="20" t="n"/>
      <c r="G58" s="23">
        <f>IF($E58="","",$E58/IF(ttAmountUnit="Paise",100,1))</f>
        <v/>
      </c>
      <c r="H58" s="24">
        <f>IF(AND($A58="Yes",$E58&lt;&gt;""),SUMPRODUCT(($A$5:$A58="Yes")*($E$5:$E58&lt;&gt;"")),"")</f>
        <v/>
      </c>
    </row>
    <row r="59">
      <c r="A59" s="19" t="n"/>
      <c r="B59" s="20" t="n"/>
      <c r="C59" s="21" t="n"/>
      <c r="D59" s="19" t="n"/>
      <c r="E59" s="22" t="n"/>
      <c r="F59" s="20" t="n"/>
      <c r="G59" s="23">
        <f>IF($E59="","",$E59/IF(ttAmountUnit="Paise",100,1))</f>
        <v/>
      </c>
      <c r="H59" s="24">
        <f>IF(AND($A59="Yes",$E59&lt;&gt;""),SUMPRODUCT(($A$5:$A59="Yes")*($E$5:$E59&lt;&gt;"")),"")</f>
        <v/>
      </c>
    </row>
    <row r="60">
      <c r="A60" s="19" t="n"/>
      <c r="B60" s="20" t="n"/>
      <c r="C60" s="21" t="n"/>
      <c r="D60" s="19" t="n"/>
      <c r="E60" s="22" t="n"/>
      <c r="F60" s="20" t="n"/>
      <c r="G60" s="23">
        <f>IF($E60="","",$E60/IF(ttAmountUnit="Paise",100,1))</f>
        <v/>
      </c>
      <c r="H60" s="24">
        <f>IF(AND($A60="Yes",$E60&lt;&gt;""),SUMPRODUCT(($A$5:$A60="Yes")*($E$5:$E60&lt;&gt;"")),"")</f>
        <v/>
      </c>
    </row>
    <row r="61">
      <c r="A61" s="19" t="n"/>
      <c r="B61" s="20" t="n"/>
      <c r="C61" s="21" t="n"/>
      <c r="D61" s="19" t="n"/>
      <c r="E61" s="22" t="n"/>
      <c r="F61" s="20" t="n"/>
      <c r="G61" s="23">
        <f>IF($E61="","",$E61/IF(ttAmountUnit="Paise",100,1))</f>
        <v/>
      </c>
      <c r="H61" s="24">
        <f>IF(AND($A61="Yes",$E61&lt;&gt;""),SUMPRODUCT(($A$5:$A61="Yes")*($E$5:$E61&lt;&gt;"")),"")</f>
        <v/>
      </c>
    </row>
    <row r="62">
      <c r="A62" s="19" t="n"/>
      <c r="B62" s="20" t="n"/>
      <c r="C62" s="21" t="n"/>
      <c r="D62" s="19" t="n"/>
      <c r="E62" s="22" t="n"/>
      <c r="F62" s="20" t="n"/>
      <c r="G62" s="23">
        <f>IF($E62="","",$E62/IF(ttAmountUnit="Paise",100,1))</f>
        <v/>
      </c>
      <c r="H62" s="24">
        <f>IF(AND($A62="Yes",$E62&lt;&gt;""),SUMPRODUCT(($A$5:$A62="Yes")*($E$5:$E62&lt;&gt;"")),"")</f>
        <v/>
      </c>
    </row>
    <row r="63">
      <c r="A63" s="19" t="n"/>
      <c r="B63" s="20" t="n"/>
      <c r="C63" s="21" t="n"/>
      <c r="D63" s="19" t="n"/>
      <c r="E63" s="22" t="n"/>
      <c r="F63" s="20" t="n"/>
      <c r="G63" s="23">
        <f>IF($E63="","",$E63/IF(ttAmountUnit="Paise",100,1))</f>
        <v/>
      </c>
      <c r="H63" s="24">
        <f>IF(AND($A63="Yes",$E63&lt;&gt;""),SUMPRODUCT(($A$5:$A63="Yes")*($E$5:$E63&lt;&gt;"")),"")</f>
        <v/>
      </c>
    </row>
    <row r="64">
      <c r="A64" s="19" t="n"/>
      <c r="B64" s="20" t="n"/>
      <c r="C64" s="21" t="n"/>
      <c r="D64" s="19" t="n"/>
      <c r="E64" s="22" t="n"/>
      <c r="F64" s="20" t="n"/>
      <c r="G64" s="23">
        <f>IF($E64="","",$E64/IF(ttAmountUnit="Paise",100,1))</f>
        <v/>
      </c>
      <c r="H64" s="24">
        <f>IF(AND($A64="Yes",$E64&lt;&gt;""),SUMPRODUCT(($A$5:$A64="Yes")*($E$5:$E64&lt;&gt;"")),"")</f>
        <v/>
      </c>
    </row>
    <row r="65">
      <c r="A65" s="19" t="n"/>
      <c r="B65" s="20" t="n"/>
      <c r="C65" s="21" t="n"/>
      <c r="D65" s="19" t="n"/>
      <c r="E65" s="22" t="n"/>
      <c r="F65" s="20" t="n"/>
      <c r="G65" s="23">
        <f>IF($E65="","",$E65/IF(ttAmountUnit="Paise",100,1))</f>
        <v/>
      </c>
      <c r="H65" s="24">
        <f>IF(AND($A65="Yes",$E65&lt;&gt;""),SUMPRODUCT(($A$5:$A65="Yes")*($E$5:$E65&lt;&gt;"")),"")</f>
        <v/>
      </c>
    </row>
    <row r="66">
      <c r="A66" s="19" t="n"/>
      <c r="B66" s="20" t="n"/>
      <c r="C66" s="21" t="n"/>
      <c r="D66" s="19" t="n"/>
      <c r="E66" s="22" t="n"/>
      <c r="F66" s="20" t="n"/>
      <c r="G66" s="23">
        <f>IF($E66="","",$E66/IF(ttAmountUnit="Paise",100,1))</f>
        <v/>
      </c>
      <c r="H66" s="24">
        <f>IF(AND($A66="Yes",$E66&lt;&gt;""),SUMPRODUCT(($A$5:$A66="Yes")*($E$5:$E66&lt;&gt;"")),"")</f>
        <v/>
      </c>
    </row>
    <row r="67">
      <c r="A67" s="19" t="n"/>
      <c r="B67" s="20" t="n"/>
      <c r="C67" s="21" t="n"/>
      <c r="D67" s="19" t="n"/>
      <c r="E67" s="22" t="n"/>
      <c r="F67" s="20" t="n"/>
      <c r="G67" s="23">
        <f>IF($E67="","",$E67/IF(ttAmountUnit="Paise",100,1))</f>
        <v/>
      </c>
      <c r="H67" s="24">
        <f>IF(AND($A67="Yes",$E67&lt;&gt;""),SUMPRODUCT(($A$5:$A67="Yes")*($E$5:$E67&lt;&gt;"")),"")</f>
        <v/>
      </c>
    </row>
    <row r="68">
      <c r="A68" s="19" t="n"/>
      <c r="B68" s="20" t="n"/>
      <c r="C68" s="21" t="n"/>
      <c r="D68" s="19" t="n"/>
      <c r="E68" s="22" t="n"/>
      <c r="F68" s="20" t="n"/>
      <c r="G68" s="23">
        <f>IF($E68="","",$E68/IF(ttAmountUnit="Paise",100,1))</f>
        <v/>
      </c>
      <c r="H68" s="24">
        <f>IF(AND($A68="Yes",$E68&lt;&gt;""),SUMPRODUCT(($A$5:$A68="Yes")*($E$5:$E68&lt;&gt;"")),"")</f>
        <v/>
      </c>
    </row>
    <row r="69">
      <c r="A69" s="19" t="n"/>
      <c r="B69" s="20" t="n"/>
      <c r="C69" s="21" t="n"/>
      <c r="D69" s="19" t="n"/>
      <c r="E69" s="22" t="n"/>
      <c r="F69" s="20" t="n"/>
      <c r="G69" s="23">
        <f>IF($E69="","",$E69/IF(ttAmountUnit="Paise",100,1))</f>
        <v/>
      </c>
      <c r="H69" s="24">
        <f>IF(AND($A69="Yes",$E69&lt;&gt;""),SUMPRODUCT(($A$5:$A69="Yes")*($E$5:$E69&lt;&gt;"")),"")</f>
        <v/>
      </c>
    </row>
    <row r="70">
      <c r="A70" s="19" t="n"/>
      <c r="B70" s="20" t="n"/>
      <c r="C70" s="21" t="n"/>
      <c r="D70" s="19" t="n"/>
      <c r="E70" s="22" t="n"/>
      <c r="F70" s="20" t="n"/>
      <c r="G70" s="23">
        <f>IF($E70="","",$E70/IF(ttAmountUnit="Paise",100,1))</f>
        <v/>
      </c>
      <c r="H70" s="24">
        <f>IF(AND($A70="Yes",$E70&lt;&gt;""),SUMPRODUCT(($A$5:$A70="Yes")*($E$5:$E70&lt;&gt;"")),"")</f>
        <v/>
      </c>
    </row>
    <row r="71">
      <c r="A71" s="19" t="n"/>
      <c r="B71" s="20" t="n"/>
      <c r="C71" s="21" t="n"/>
      <c r="D71" s="19" t="n"/>
      <c r="E71" s="22" t="n"/>
      <c r="F71" s="20" t="n"/>
      <c r="G71" s="23">
        <f>IF($E71="","",$E71/IF(ttAmountUnit="Paise",100,1))</f>
        <v/>
      </c>
      <c r="H71" s="24">
        <f>IF(AND($A71="Yes",$E71&lt;&gt;""),SUMPRODUCT(($A$5:$A71="Yes")*($E$5:$E71&lt;&gt;"")),"")</f>
        <v/>
      </c>
    </row>
    <row r="72">
      <c r="A72" s="19" t="n"/>
      <c r="B72" s="20" t="n"/>
      <c r="C72" s="21" t="n"/>
      <c r="D72" s="19" t="n"/>
      <c r="E72" s="22" t="n"/>
      <c r="F72" s="20" t="n"/>
      <c r="G72" s="23">
        <f>IF($E72="","",$E72/IF(ttAmountUnit="Paise",100,1))</f>
        <v/>
      </c>
      <c r="H72" s="24">
        <f>IF(AND($A72="Yes",$E72&lt;&gt;""),SUMPRODUCT(($A$5:$A72="Yes")*($E$5:$E72&lt;&gt;"")),"")</f>
        <v/>
      </c>
    </row>
    <row r="73">
      <c r="A73" s="19" t="n"/>
      <c r="B73" s="20" t="n"/>
      <c r="C73" s="21" t="n"/>
      <c r="D73" s="19" t="n"/>
      <c r="E73" s="22" t="n"/>
      <c r="F73" s="20" t="n"/>
      <c r="G73" s="23">
        <f>IF($E73="","",$E73/IF(ttAmountUnit="Paise",100,1))</f>
        <v/>
      </c>
      <c r="H73" s="24">
        <f>IF(AND($A73="Yes",$E73&lt;&gt;""),SUMPRODUCT(($A$5:$A73="Yes")*($E$5:$E73&lt;&gt;"")),"")</f>
        <v/>
      </c>
    </row>
    <row r="74">
      <c r="A74" s="19" t="n"/>
      <c r="B74" s="20" t="n"/>
      <c r="C74" s="21" t="n"/>
      <c r="D74" s="19" t="n"/>
      <c r="E74" s="22" t="n"/>
      <c r="F74" s="20" t="n"/>
      <c r="G74" s="23">
        <f>IF($E74="","",$E74/IF(ttAmountUnit="Paise",100,1))</f>
        <v/>
      </c>
      <c r="H74" s="24">
        <f>IF(AND($A74="Yes",$E74&lt;&gt;""),SUMPRODUCT(($A$5:$A74="Yes")*($E$5:$E74&lt;&gt;"")),"")</f>
        <v/>
      </c>
    </row>
    <row r="75">
      <c r="A75" s="19" t="n"/>
      <c r="B75" s="20" t="n"/>
      <c r="C75" s="21" t="n"/>
      <c r="D75" s="19" t="n"/>
      <c r="E75" s="22" t="n"/>
      <c r="F75" s="20" t="n"/>
      <c r="G75" s="23">
        <f>IF($E75="","",$E75/IF(ttAmountUnit="Paise",100,1))</f>
        <v/>
      </c>
      <c r="H75" s="24">
        <f>IF(AND($A75="Yes",$E75&lt;&gt;""),SUMPRODUCT(($A$5:$A75="Yes")*($E$5:$E75&lt;&gt;"")),"")</f>
        <v/>
      </c>
    </row>
    <row r="76">
      <c r="A76" s="19" t="n"/>
      <c r="B76" s="20" t="n"/>
      <c r="C76" s="21" t="n"/>
      <c r="D76" s="19" t="n"/>
      <c r="E76" s="22" t="n"/>
      <c r="F76" s="20" t="n"/>
      <c r="G76" s="23">
        <f>IF($E76="","",$E76/IF(ttAmountUnit="Paise",100,1))</f>
        <v/>
      </c>
      <c r="H76" s="24">
        <f>IF(AND($A76="Yes",$E76&lt;&gt;""),SUMPRODUCT(($A$5:$A76="Yes")*($E$5:$E76&lt;&gt;"")),"")</f>
        <v/>
      </c>
    </row>
    <row r="77">
      <c r="A77" s="19" t="n"/>
      <c r="B77" s="20" t="n"/>
      <c r="C77" s="21" t="n"/>
      <c r="D77" s="19" t="n"/>
      <c r="E77" s="22" t="n"/>
      <c r="F77" s="20" t="n"/>
      <c r="G77" s="23">
        <f>IF($E77="","",$E77/IF(ttAmountUnit="Paise",100,1))</f>
        <v/>
      </c>
      <c r="H77" s="24">
        <f>IF(AND($A77="Yes",$E77&lt;&gt;""),SUMPRODUCT(($A$5:$A77="Yes")*($E$5:$E77&lt;&gt;"")),"")</f>
        <v/>
      </c>
    </row>
    <row r="78">
      <c r="A78" s="19" t="n"/>
      <c r="B78" s="20" t="n"/>
      <c r="C78" s="21" t="n"/>
      <c r="D78" s="19" t="n"/>
      <c r="E78" s="22" t="n"/>
      <c r="F78" s="20" t="n"/>
      <c r="G78" s="23">
        <f>IF($E78="","",$E78/IF(ttAmountUnit="Paise",100,1))</f>
        <v/>
      </c>
      <c r="H78" s="24">
        <f>IF(AND($A78="Yes",$E78&lt;&gt;""),SUMPRODUCT(($A$5:$A78="Yes")*($E$5:$E78&lt;&gt;"")),"")</f>
        <v/>
      </c>
    </row>
    <row r="79">
      <c r="A79" s="19" t="n"/>
      <c r="B79" s="20" t="n"/>
      <c r="C79" s="21" t="n"/>
      <c r="D79" s="19" t="n"/>
      <c r="E79" s="22" t="n"/>
      <c r="F79" s="20" t="n"/>
      <c r="G79" s="23">
        <f>IF($E79="","",$E79/IF(ttAmountUnit="Paise",100,1))</f>
        <v/>
      </c>
      <c r="H79" s="24">
        <f>IF(AND($A79="Yes",$E79&lt;&gt;""),SUMPRODUCT(($A$5:$A79="Yes")*($E$5:$E79&lt;&gt;"")),"")</f>
        <v/>
      </c>
    </row>
    <row r="80">
      <c r="A80" s="19" t="n"/>
      <c r="B80" s="20" t="n"/>
      <c r="C80" s="21" t="n"/>
      <c r="D80" s="19" t="n"/>
      <c r="E80" s="22" t="n"/>
      <c r="F80" s="20" t="n"/>
      <c r="G80" s="23">
        <f>IF($E80="","",$E80/IF(ttAmountUnit="Paise",100,1))</f>
        <v/>
      </c>
      <c r="H80" s="24">
        <f>IF(AND($A80="Yes",$E80&lt;&gt;""),SUMPRODUCT(($A$5:$A80="Yes")*($E$5:$E80&lt;&gt;"")),"")</f>
        <v/>
      </c>
    </row>
    <row r="81">
      <c r="A81" s="19" t="n"/>
      <c r="B81" s="20" t="n"/>
      <c r="C81" s="21" t="n"/>
      <c r="D81" s="19" t="n"/>
      <c r="E81" s="22" t="n"/>
      <c r="F81" s="20" t="n"/>
      <c r="G81" s="23">
        <f>IF($E81="","",$E81/IF(ttAmountUnit="Paise",100,1))</f>
        <v/>
      </c>
      <c r="H81" s="24">
        <f>IF(AND($A81="Yes",$E81&lt;&gt;""),SUMPRODUCT(($A$5:$A81="Yes")*($E$5:$E81&lt;&gt;"")),"")</f>
        <v/>
      </c>
    </row>
    <row r="82">
      <c r="A82" s="19" t="n"/>
      <c r="B82" s="20" t="n"/>
      <c r="C82" s="21" t="n"/>
      <c r="D82" s="19" t="n"/>
      <c r="E82" s="22" t="n"/>
      <c r="F82" s="20" t="n"/>
      <c r="G82" s="23">
        <f>IF($E82="","",$E82/IF(ttAmountUnit="Paise",100,1))</f>
        <v/>
      </c>
      <c r="H82" s="24">
        <f>IF(AND($A82="Yes",$E82&lt;&gt;""),SUMPRODUCT(($A$5:$A82="Yes")*($E$5:$E82&lt;&gt;"")),"")</f>
        <v/>
      </c>
    </row>
    <row r="83">
      <c r="A83" s="19" t="n"/>
      <c r="B83" s="20" t="n"/>
      <c r="C83" s="21" t="n"/>
      <c r="D83" s="19" t="n"/>
      <c r="E83" s="22" t="n"/>
      <c r="F83" s="20" t="n"/>
      <c r="G83" s="23">
        <f>IF($E83="","",$E83/IF(ttAmountUnit="Paise",100,1))</f>
        <v/>
      </c>
      <c r="H83" s="24">
        <f>IF(AND($A83="Yes",$E83&lt;&gt;""),SUMPRODUCT(($A$5:$A83="Yes")*($E$5:$E83&lt;&gt;"")),"")</f>
        <v/>
      </c>
    </row>
    <row r="84">
      <c r="A84" s="19" t="n"/>
      <c r="B84" s="20" t="n"/>
      <c r="C84" s="21" t="n"/>
      <c r="D84" s="19" t="n"/>
      <c r="E84" s="22" t="n"/>
      <c r="F84" s="20" t="n"/>
      <c r="G84" s="23">
        <f>IF($E84="","",$E84/IF(ttAmountUnit="Paise",100,1))</f>
        <v/>
      </c>
      <c r="H84" s="24">
        <f>IF(AND($A84="Yes",$E84&lt;&gt;""),SUMPRODUCT(($A$5:$A84="Yes")*($E$5:$E84&lt;&gt;"")),"")</f>
        <v/>
      </c>
    </row>
    <row r="85">
      <c r="A85" s="19" t="n"/>
      <c r="B85" s="20" t="n"/>
      <c r="C85" s="21" t="n"/>
      <c r="D85" s="19" t="n"/>
      <c r="E85" s="22" t="n"/>
      <c r="F85" s="20" t="n"/>
      <c r="G85" s="23">
        <f>IF($E85="","",$E85/IF(ttAmountUnit="Paise",100,1))</f>
        <v/>
      </c>
      <c r="H85" s="24">
        <f>IF(AND($A85="Yes",$E85&lt;&gt;""),SUMPRODUCT(($A$5:$A85="Yes")*($E$5:$E85&lt;&gt;"")),"")</f>
        <v/>
      </c>
    </row>
    <row r="86">
      <c r="A86" s="19" t="n"/>
      <c r="B86" s="20" t="n"/>
      <c r="C86" s="21" t="n"/>
      <c r="D86" s="19" t="n"/>
      <c r="E86" s="22" t="n"/>
      <c r="F86" s="20" t="n"/>
      <c r="G86" s="23">
        <f>IF($E86="","",$E86/IF(ttAmountUnit="Paise",100,1))</f>
        <v/>
      </c>
      <c r="H86" s="24">
        <f>IF(AND($A86="Yes",$E86&lt;&gt;""),SUMPRODUCT(($A$5:$A86="Yes")*($E$5:$E86&lt;&gt;"")),"")</f>
        <v/>
      </c>
    </row>
    <row r="87">
      <c r="A87" s="19" t="n"/>
      <c r="B87" s="20" t="n"/>
      <c r="C87" s="21" t="n"/>
      <c r="D87" s="19" t="n"/>
      <c r="E87" s="22" t="n"/>
      <c r="F87" s="20" t="n"/>
      <c r="G87" s="23">
        <f>IF($E87="","",$E87/IF(ttAmountUnit="Paise",100,1))</f>
        <v/>
      </c>
      <c r="H87" s="24">
        <f>IF(AND($A87="Yes",$E87&lt;&gt;""),SUMPRODUCT(($A$5:$A87="Yes")*($E$5:$E87&lt;&gt;"")),"")</f>
        <v/>
      </c>
    </row>
    <row r="88">
      <c r="A88" s="19" t="n"/>
      <c r="B88" s="20" t="n"/>
      <c r="C88" s="21" t="n"/>
      <c r="D88" s="19" t="n"/>
      <c r="E88" s="22" t="n"/>
      <c r="F88" s="20" t="n"/>
      <c r="G88" s="23">
        <f>IF($E88="","",$E88/IF(ttAmountUnit="Paise",100,1))</f>
        <v/>
      </c>
      <c r="H88" s="24">
        <f>IF(AND($A88="Yes",$E88&lt;&gt;""),SUMPRODUCT(($A$5:$A88="Yes")*($E$5:$E88&lt;&gt;"")),"")</f>
        <v/>
      </c>
    </row>
    <row r="89">
      <c r="A89" s="19" t="n"/>
      <c r="B89" s="20" t="n"/>
      <c r="C89" s="21" t="n"/>
      <c r="D89" s="19" t="n"/>
      <c r="E89" s="22" t="n"/>
      <c r="F89" s="20" t="n"/>
      <c r="G89" s="23">
        <f>IF($E89="","",$E89/IF(ttAmountUnit="Paise",100,1))</f>
        <v/>
      </c>
      <c r="H89" s="24">
        <f>IF(AND($A89="Yes",$E89&lt;&gt;""),SUMPRODUCT(($A$5:$A89="Yes")*($E$5:$E89&lt;&gt;"")),"")</f>
        <v/>
      </c>
    </row>
    <row r="90">
      <c r="A90" s="19" t="n"/>
      <c r="B90" s="20" t="n"/>
      <c r="C90" s="21" t="n"/>
      <c r="D90" s="19" t="n"/>
      <c r="E90" s="22" t="n"/>
      <c r="F90" s="20" t="n"/>
      <c r="G90" s="23">
        <f>IF($E90="","",$E90/IF(ttAmountUnit="Paise",100,1))</f>
        <v/>
      </c>
      <c r="H90" s="24">
        <f>IF(AND($A90="Yes",$E90&lt;&gt;""),SUMPRODUCT(($A$5:$A90="Yes")*($E$5:$E90&lt;&gt;"")),"")</f>
        <v/>
      </c>
    </row>
    <row r="91">
      <c r="A91" s="19" t="n"/>
      <c r="B91" s="20" t="n"/>
      <c r="C91" s="21" t="n"/>
      <c r="D91" s="19" t="n"/>
      <c r="E91" s="22" t="n"/>
      <c r="F91" s="20" t="n"/>
      <c r="G91" s="23">
        <f>IF($E91="","",$E91/IF(ttAmountUnit="Paise",100,1))</f>
        <v/>
      </c>
      <c r="H91" s="24">
        <f>IF(AND($A91="Yes",$E91&lt;&gt;""),SUMPRODUCT(($A$5:$A91="Yes")*($E$5:$E91&lt;&gt;"")),"")</f>
        <v/>
      </c>
    </row>
    <row r="92">
      <c r="A92" s="19" t="n"/>
      <c r="B92" s="20" t="n"/>
      <c r="C92" s="21" t="n"/>
      <c r="D92" s="19" t="n"/>
      <c r="E92" s="22" t="n"/>
      <c r="F92" s="20" t="n"/>
      <c r="G92" s="23">
        <f>IF($E92="","",$E92/IF(ttAmountUnit="Paise",100,1))</f>
        <v/>
      </c>
      <c r="H92" s="24">
        <f>IF(AND($A92="Yes",$E92&lt;&gt;""),SUMPRODUCT(($A$5:$A92="Yes")*($E$5:$E92&lt;&gt;"")),"")</f>
        <v/>
      </c>
    </row>
    <row r="93">
      <c r="A93" s="19" t="n"/>
      <c r="B93" s="20" t="n"/>
      <c r="C93" s="21" t="n"/>
      <c r="D93" s="19" t="n"/>
      <c r="E93" s="22" t="n"/>
      <c r="F93" s="20" t="n"/>
      <c r="G93" s="23">
        <f>IF($E93="","",$E93/IF(ttAmountUnit="Paise",100,1))</f>
        <v/>
      </c>
      <c r="H93" s="24">
        <f>IF(AND($A93="Yes",$E93&lt;&gt;""),SUMPRODUCT(($A$5:$A93="Yes")*($E$5:$E93&lt;&gt;"")),"")</f>
        <v/>
      </c>
    </row>
    <row r="94">
      <c r="A94" s="19" t="n"/>
      <c r="B94" s="20" t="n"/>
      <c r="C94" s="21" t="n"/>
      <c r="D94" s="19" t="n"/>
      <c r="E94" s="22" t="n"/>
      <c r="F94" s="20" t="n"/>
      <c r="G94" s="23">
        <f>IF($E94="","",$E94/IF(ttAmountUnit="Paise",100,1))</f>
        <v/>
      </c>
      <c r="H94" s="24">
        <f>IF(AND($A94="Yes",$E94&lt;&gt;""),SUMPRODUCT(($A$5:$A94="Yes")*($E$5:$E94&lt;&gt;"")),"")</f>
        <v/>
      </c>
    </row>
    <row r="95">
      <c r="A95" s="19" t="n"/>
      <c r="B95" s="20" t="n"/>
      <c r="C95" s="21" t="n"/>
      <c r="D95" s="19" t="n"/>
      <c r="E95" s="22" t="n"/>
      <c r="F95" s="20" t="n"/>
      <c r="G95" s="23">
        <f>IF($E95="","",$E95/IF(ttAmountUnit="Paise",100,1))</f>
        <v/>
      </c>
      <c r="H95" s="24">
        <f>IF(AND($A95="Yes",$E95&lt;&gt;""),SUMPRODUCT(($A$5:$A95="Yes")*($E$5:$E95&lt;&gt;"")),"")</f>
        <v/>
      </c>
    </row>
    <row r="96">
      <c r="A96" s="19" t="n"/>
      <c r="B96" s="20" t="n"/>
      <c r="C96" s="21" t="n"/>
      <c r="D96" s="19" t="n"/>
      <c r="E96" s="22" t="n"/>
      <c r="F96" s="20" t="n"/>
      <c r="G96" s="23">
        <f>IF($E96="","",$E96/IF(ttAmountUnit="Paise",100,1))</f>
        <v/>
      </c>
      <c r="H96" s="24">
        <f>IF(AND($A96="Yes",$E96&lt;&gt;""),SUMPRODUCT(($A$5:$A96="Yes")*($E$5:$E96&lt;&gt;"")),"")</f>
        <v/>
      </c>
    </row>
    <row r="97">
      <c r="A97" s="19" t="n"/>
      <c r="B97" s="20" t="n"/>
      <c r="C97" s="21" t="n"/>
      <c r="D97" s="19" t="n"/>
      <c r="E97" s="22" t="n"/>
      <c r="F97" s="20" t="n"/>
      <c r="G97" s="23">
        <f>IF($E97="","",$E97/IF(ttAmountUnit="Paise",100,1))</f>
        <v/>
      </c>
      <c r="H97" s="24">
        <f>IF(AND($A97="Yes",$E97&lt;&gt;""),SUMPRODUCT(($A$5:$A97="Yes")*($E$5:$E97&lt;&gt;"")),"")</f>
        <v/>
      </c>
    </row>
    <row r="98">
      <c r="A98" s="19" t="n"/>
      <c r="B98" s="20" t="n"/>
      <c r="C98" s="21" t="n"/>
      <c r="D98" s="19" t="n"/>
      <c r="E98" s="22" t="n"/>
      <c r="F98" s="20" t="n"/>
      <c r="G98" s="23">
        <f>IF($E98="","",$E98/IF(ttAmountUnit="Paise",100,1))</f>
        <v/>
      </c>
      <c r="H98" s="24">
        <f>IF(AND($A98="Yes",$E98&lt;&gt;""),SUMPRODUCT(($A$5:$A98="Yes")*($E$5:$E98&lt;&gt;"")),"")</f>
        <v/>
      </c>
    </row>
    <row r="99">
      <c r="A99" s="19" t="n"/>
      <c r="B99" s="20" t="n"/>
      <c r="C99" s="21" t="n"/>
      <c r="D99" s="19" t="n"/>
      <c r="E99" s="22" t="n"/>
      <c r="F99" s="20" t="n"/>
      <c r="G99" s="23">
        <f>IF($E99="","",$E99/IF(ttAmountUnit="Paise",100,1))</f>
        <v/>
      </c>
      <c r="H99" s="24">
        <f>IF(AND($A99="Yes",$E99&lt;&gt;""),SUMPRODUCT(($A$5:$A99="Yes")*($E$5:$E99&lt;&gt;"")),"")</f>
        <v/>
      </c>
    </row>
    <row r="100">
      <c r="A100" s="19" t="n"/>
      <c r="B100" s="20" t="n"/>
      <c r="C100" s="21" t="n"/>
      <c r="D100" s="19" t="n"/>
      <c r="E100" s="22" t="n"/>
      <c r="F100" s="20" t="n"/>
      <c r="G100" s="23">
        <f>IF($E100="","",$E100/IF(ttAmountUnit="Paise",100,1))</f>
        <v/>
      </c>
      <c r="H100" s="24">
        <f>IF(AND($A100="Yes",$E100&lt;&gt;""),SUMPRODUCT(($A$5:$A100="Yes")*($E$5:$E100&lt;&gt;"")),"")</f>
        <v/>
      </c>
    </row>
    <row r="101">
      <c r="A101" s="19" t="n"/>
      <c r="B101" s="20" t="n"/>
      <c r="C101" s="21" t="n"/>
      <c r="D101" s="19" t="n"/>
      <c r="E101" s="22" t="n"/>
      <c r="F101" s="20" t="n"/>
      <c r="G101" s="23">
        <f>IF($E101="","",$E101/IF(ttAmountUnit="Paise",100,1))</f>
        <v/>
      </c>
      <c r="H101" s="24">
        <f>IF(AND($A101="Yes",$E101&lt;&gt;""),SUMPRODUCT(($A$5:$A101="Yes")*($E$5:$E101&lt;&gt;"")),"")</f>
        <v/>
      </c>
    </row>
    <row r="102">
      <c r="A102" s="19" t="n"/>
      <c r="B102" s="20" t="n"/>
      <c r="C102" s="21" t="n"/>
      <c r="D102" s="19" t="n"/>
      <c r="E102" s="22" t="n"/>
      <c r="F102" s="20" t="n"/>
      <c r="G102" s="23">
        <f>IF($E102="","",$E102/IF(ttAmountUnit="Paise",100,1))</f>
        <v/>
      </c>
      <c r="H102" s="24">
        <f>IF(AND($A102="Yes",$E102&lt;&gt;""),SUMPRODUCT(($A$5:$A102="Yes")*($E$5:$E102&lt;&gt;"")),"")</f>
        <v/>
      </c>
    </row>
    <row r="103">
      <c r="A103" s="19" t="n"/>
      <c r="B103" s="20" t="n"/>
      <c r="C103" s="21" t="n"/>
      <c r="D103" s="19" t="n"/>
      <c r="E103" s="22" t="n"/>
      <c r="F103" s="20" t="n"/>
      <c r="G103" s="23">
        <f>IF($E103="","",$E103/IF(ttAmountUnit="Paise",100,1))</f>
        <v/>
      </c>
      <c r="H103" s="24">
        <f>IF(AND($A103="Yes",$E103&lt;&gt;""),SUMPRODUCT(($A$5:$A103="Yes")*($E$5:$E103&lt;&gt;"")),"")</f>
        <v/>
      </c>
    </row>
    <row r="104">
      <c r="A104" s="19" t="n"/>
      <c r="B104" s="20" t="n"/>
      <c r="C104" s="21" t="n"/>
      <c r="D104" s="19" t="n"/>
      <c r="E104" s="22" t="n"/>
      <c r="F104" s="20" t="n"/>
      <c r="G104" s="23">
        <f>IF($E104="","",$E104/IF(ttAmountUnit="Paise",100,1))</f>
        <v/>
      </c>
      <c r="H104" s="24">
        <f>IF(AND($A104="Yes",$E104&lt;&gt;""),SUMPRODUCT(($A$5:$A104="Yes")*($E$5:$E104&lt;&gt;"")),"")</f>
        <v/>
      </c>
    </row>
    <row r="106">
      <c r="A106" s="13" t="inlineStr">
        <is>
          <t>Amount as keyed: with Config set to Paise (the default), type the figure exactly as the settlement report shows it - the last two digits are the paise, so 47400 is 474.00. The Reads as (INR) column shows how each figure will be understood. Narration tokens {DDMMYY} {DDMMYYYY} {DD} {MM} {YY} {YYYY} are replaced with the value date; the narration must fit 35 characters after substitution.</t>
        </is>
      </c>
    </row>
    <row r="107"/>
  </sheetData>
  <mergeCells count="4">
    <mergeCell ref="A106:G107"/>
    <mergeCell ref="A3:G3"/>
    <mergeCell ref="A2:G2"/>
    <mergeCell ref="A1:G1"/>
  </mergeCells>
  <conditionalFormatting sqref="A3:G3">
    <cfRule type="expression" priority="1" dxfId="0">
      <formula>$J$3&lt;&gt;0</formula>
    </cfRule>
    <cfRule type="expression" priority="2" dxfId="1">
      <formula>$J$3=0</formula>
    </cfRule>
  </conditionalFormatting>
  <dataValidations count="3">
    <dataValidation sqref="A5:A104" showDropDown="0" showInputMessage="0" showErrorMessage="1" allowBlank="1" errorTitle="Include?" error="Choose Yes to put this row in today's file, or No to leave it out." type="list">
      <formula1>"Yes,No"</formula1>
    </dataValidation>
    <dataValidation sqref="D5:D104" showDropDown="0" showInputMessage="0" showErrorMessage="1" allowBlank="1" errorTitle="Dr/Cr" error="Enter D for a debit or C for a credit." type="list">
      <formula1>"D,C"</formula1>
    </dataValidation>
    <dataValidation sqref="E5:E104" showDropDown="0" showInputMessage="0" showErrorMessage="1" allowBlank="1" errorTitle="Amount" error="Enter the amount as it appears on the settlement report." type="decimal" operator="greaterThan">
      <formula1>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TextOutput">
    <outlinePr summaryBelow="1" summaryRight="1"/>
    <pageSetUpPr/>
  </sheetPr>
  <dimension ref="A1:C108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118" customWidth="1" min="1" max="1"/>
    <col width="9" customWidth="1" min="2" max="2"/>
    <col width="7" customWidth="1" min="3" max="3"/>
  </cols>
  <sheetData>
    <row r="1" ht="30" customHeight="1">
      <c r="A1" s="1" t="inlineStr">
        <is>
          <t xml:space="preserve">   TEXT OUTPUT  (works without macros)</t>
        </is>
      </c>
      <c r="B1" s="2" t="n"/>
      <c r="C1" s="2" t="n"/>
    </row>
    <row r="2" ht="16" customHeight="1">
      <c r="A2" s="3" t="inlineStr">
        <is>
          <t xml:space="preserve">   The same records, built by formula. Copy them into Notepad and save.</t>
        </is>
      </c>
      <c r="B2" s="2" t="n"/>
      <c r="C2" s="2" t="n"/>
    </row>
    <row r="3">
      <c r="A3" s="25" t="inlineStr">
        <is>
          <t>1.  Set the value date and the amounts as usual, on the Dashboard and Entries sheets.</t>
        </is>
      </c>
    </row>
    <row r="4">
      <c r="A4" s="26" t="inlineStr">
        <is>
          <t>2.  Select the filled cells in column A below, from A6 down to the last one with text.</t>
        </is>
      </c>
    </row>
    <row r="5">
      <c r="A5" s="26" t="inlineStr">
        <is>
          <t>3.  Copy, then paste into Notepad.</t>
        </is>
      </c>
    </row>
    <row r="6">
      <c r="A6" s="26" t="inlineStr">
        <is>
          <t>4.  Save from Notepad as the file name shown on the Dashboard, with Encoding set to ANSI.</t>
        </is>
      </c>
    </row>
    <row r="8">
      <c r="A8" s="27" t="inlineStr">
        <is>
          <t>Record  (each line is exactly 186 characters)</t>
        </is>
      </c>
      <c r="B8" s="27" t="inlineStr">
        <is>
          <t>Length</t>
        </is>
      </c>
      <c r="C8" s="27" t="inlineStr">
        <is>
          <t>Row</t>
        </is>
      </c>
    </row>
    <row r="9">
      <c r="A9" s="28">
        <f>IF($C9="","",LEFT(INDEX(Entries!$C$5:$C$104,$C9)&amp;REPT(" ",14),14)&amp;TEXT(ttValueDate,"ddmmyyyy")&amp;TEXT(INDEX(Entries!$E$5:$E$104,$C9)*IF(ttAmountUnit="Paise",1,100),REPT("0",23))&amp;INDEX(Entries!$D$5:$D$104,$C9)&amp;"0"&amp;TEXT(ttValueDate,"ddmmyyyy")&amp;REPT(" ",26)&amp;LEFT(SUBSTITUTE(SUBSTITUTE(SUBSTITUTE(SUBSTITUTE(SUBSTITUTE(SUBSTITUTE(INDEX(Entries!$F$5:$F$104,$C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" s="29">
        <f>IF($A9="","",LEN($A9))</f>
        <v/>
      </c>
      <c r="C9" s="30">
        <f>IFERROR(MATCH(1,Entries!$H$5:$H$104,0),"")</f>
        <v/>
      </c>
    </row>
    <row r="10">
      <c r="A10" s="28">
        <f>IF($C10="","",LEFT(INDEX(Entries!$C$5:$C$104,$C10)&amp;REPT(" ",14),14)&amp;TEXT(ttValueDate,"ddmmyyyy")&amp;TEXT(INDEX(Entries!$E$5:$E$104,$C10)*IF(ttAmountUnit="Paise",1,100),REPT("0",23))&amp;INDEX(Entries!$D$5:$D$104,$C10)&amp;"0"&amp;TEXT(ttValueDate,"ddmmyyyy")&amp;REPT(" ",26)&amp;LEFT(SUBSTITUTE(SUBSTITUTE(SUBSTITUTE(SUBSTITUTE(SUBSTITUTE(SUBSTITUTE(INDEX(Entries!$F$5:$F$104,$C10)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" s="29">
        <f>IF($A10="","",LEN($A10))</f>
        <v/>
      </c>
      <c r="C10" s="30">
        <f>IFERROR(MATCH(2,Entries!$H$5:$H$104,0),"")</f>
        <v/>
      </c>
    </row>
    <row r="11">
      <c r="A11" s="28">
        <f>IF($C11="","",LEFT(INDEX(Entries!$C$5:$C$104,$C11)&amp;REPT(" ",14),14)&amp;TEXT(ttValueDate,"ddmmyyyy")&amp;TEXT(INDEX(Entries!$E$5:$E$104,$C11)*IF(ttAmountUnit="Paise",1,100),REPT("0",23))&amp;INDEX(Entries!$D$5:$D$104,$C11)&amp;"0"&amp;TEXT(ttValueDate,"ddmmyyyy")&amp;REPT(" ",26)&amp;LEFT(SUBSTITUTE(SUBSTITUTE(SUBSTITUTE(SUBSTITUTE(SUBSTITUTE(SUBSTITUTE(INDEX(Entries!$F$5:$F$104,$C11)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1" s="29">
        <f>IF($A11="","",LEN($A11))</f>
        <v/>
      </c>
      <c r="C11" s="30">
        <f>IFERROR(MATCH(3,Entries!$H$5:$H$104,0),"")</f>
        <v/>
      </c>
    </row>
    <row r="12">
      <c r="A12" s="28">
        <f>IF($C12="","",LEFT(INDEX(Entries!$C$5:$C$104,$C12)&amp;REPT(" ",14),14)&amp;TEXT(ttValueDate,"ddmmyyyy")&amp;TEXT(INDEX(Entries!$E$5:$E$104,$C12)*IF(ttAmountUnit="Paise",1,100),REPT("0",23))&amp;INDEX(Entries!$D$5:$D$104,$C12)&amp;"0"&amp;TEXT(ttValueDate,"ddmmyyyy")&amp;REPT(" ",26)&amp;LEFT(SUBSTITUTE(SUBSTITUTE(SUBSTITUTE(SUBSTITUTE(SUBSTITUTE(SUBSTITUTE(INDEX(Entries!$F$5:$F$104,$C12)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2" s="29">
        <f>IF($A12="","",LEN($A12))</f>
        <v/>
      </c>
      <c r="C12" s="30">
        <f>IFERROR(MATCH(4,Entries!$H$5:$H$104,0),"")</f>
        <v/>
      </c>
    </row>
    <row r="13">
      <c r="A13" s="28">
        <f>IF($C13="","",LEFT(INDEX(Entries!$C$5:$C$104,$C13)&amp;REPT(" ",14),14)&amp;TEXT(ttValueDate,"ddmmyyyy")&amp;TEXT(INDEX(Entries!$E$5:$E$104,$C13)*IF(ttAmountUnit="Paise",1,100),REPT("0",23))&amp;INDEX(Entries!$D$5:$D$104,$C13)&amp;"0"&amp;TEXT(ttValueDate,"ddmmyyyy")&amp;REPT(" ",26)&amp;LEFT(SUBSTITUTE(SUBSTITUTE(SUBSTITUTE(SUBSTITUTE(SUBSTITUTE(SUBSTITUTE(INDEX(Entries!$F$5:$F$104,$C13)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3" s="29">
        <f>IF($A13="","",LEN($A13))</f>
        <v/>
      </c>
      <c r="C13" s="30">
        <f>IFERROR(MATCH(5,Entries!$H$5:$H$104,0),"")</f>
        <v/>
      </c>
    </row>
    <row r="14">
      <c r="A14" s="28">
        <f>IF($C14="","",LEFT(INDEX(Entries!$C$5:$C$104,$C14)&amp;REPT(" ",14),14)&amp;TEXT(ttValueDate,"ddmmyyyy")&amp;TEXT(INDEX(Entries!$E$5:$E$104,$C14)*IF(ttAmountUnit="Paise",1,100),REPT("0",23))&amp;INDEX(Entries!$D$5:$D$104,$C14)&amp;"0"&amp;TEXT(ttValueDate,"ddmmyyyy")&amp;REPT(" ",26)&amp;LEFT(SUBSTITUTE(SUBSTITUTE(SUBSTITUTE(SUBSTITUTE(SUBSTITUTE(SUBSTITUTE(INDEX(Entries!$F$5:$F$104,$C14)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4" s="29">
        <f>IF($A14="","",LEN($A14))</f>
        <v/>
      </c>
      <c r="C14" s="30">
        <f>IFERROR(MATCH(6,Entries!$H$5:$H$104,0),"")</f>
        <v/>
      </c>
    </row>
    <row r="15">
      <c r="A15" s="28">
        <f>IF($C15="","",LEFT(INDEX(Entries!$C$5:$C$104,$C15)&amp;REPT(" ",14),14)&amp;TEXT(ttValueDate,"ddmmyyyy")&amp;TEXT(INDEX(Entries!$E$5:$E$104,$C15)*IF(ttAmountUnit="Paise",1,100),REPT("0",23))&amp;INDEX(Entries!$D$5:$D$104,$C15)&amp;"0"&amp;TEXT(ttValueDate,"ddmmyyyy")&amp;REPT(" ",26)&amp;LEFT(SUBSTITUTE(SUBSTITUTE(SUBSTITUTE(SUBSTITUTE(SUBSTITUTE(SUBSTITUTE(INDEX(Entries!$F$5:$F$104,$C15)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5" s="29">
        <f>IF($A15="","",LEN($A15))</f>
        <v/>
      </c>
      <c r="C15" s="30">
        <f>IFERROR(MATCH(7,Entries!$H$5:$H$104,0),"")</f>
        <v/>
      </c>
    </row>
    <row r="16">
      <c r="A16" s="28">
        <f>IF($C16="","",LEFT(INDEX(Entries!$C$5:$C$104,$C16)&amp;REPT(" ",14),14)&amp;TEXT(ttValueDate,"ddmmyyyy")&amp;TEXT(INDEX(Entries!$E$5:$E$104,$C16)*IF(ttAmountUnit="Paise",1,100),REPT("0",23))&amp;INDEX(Entries!$D$5:$D$104,$C16)&amp;"0"&amp;TEXT(ttValueDate,"ddmmyyyy")&amp;REPT(" ",26)&amp;LEFT(SUBSTITUTE(SUBSTITUTE(SUBSTITUTE(SUBSTITUTE(SUBSTITUTE(SUBSTITUTE(INDEX(Entries!$F$5:$F$104,$C16)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6" s="29">
        <f>IF($A16="","",LEN($A16))</f>
        <v/>
      </c>
      <c r="C16" s="30">
        <f>IFERROR(MATCH(8,Entries!$H$5:$H$104,0),"")</f>
        <v/>
      </c>
    </row>
    <row r="17">
      <c r="A17" s="28">
        <f>IF($C17="","",LEFT(INDEX(Entries!$C$5:$C$104,$C17)&amp;REPT(" ",14),14)&amp;TEXT(ttValueDate,"ddmmyyyy")&amp;TEXT(INDEX(Entries!$E$5:$E$104,$C17)*IF(ttAmountUnit="Paise",1,100),REPT("0",23))&amp;INDEX(Entries!$D$5:$D$104,$C17)&amp;"0"&amp;TEXT(ttValueDate,"ddmmyyyy")&amp;REPT(" ",26)&amp;LEFT(SUBSTITUTE(SUBSTITUTE(SUBSTITUTE(SUBSTITUTE(SUBSTITUTE(SUBSTITUTE(INDEX(Entries!$F$5:$F$104,$C17)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7" s="29">
        <f>IF($A17="","",LEN($A17))</f>
        <v/>
      </c>
      <c r="C17" s="30">
        <f>IFERROR(MATCH(9,Entries!$H$5:$H$104,0),"")</f>
        <v/>
      </c>
    </row>
    <row r="18">
      <c r="A18" s="28">
        <f>IF($C18="","",LEFT(INDEX(Entries!$C$5:$C$104,$C18)&amp;REPT(" ",14),14)&amp;TEXT(ttValueDate,"ddmmyyyy")&amp;TEXT(INDEX(Entries!$E$5:$E$104,$C18)*IF(ttAmountUnit="Paise",1,100),REPT("0",23))&amp;INDEX(Entries!$D$5:$D$104,$C18)&amp;"0"&amp;TEXT(ttValueDate,"ddmmyyyy")&amp;REPT(" ",26)&amp;LEFT(SUBSTITUTE(SUBSTITUTE(SUBSTITUTE(SUBSTITUTE(SUBSTITUTE(SUBSTITUTE(INDEX(Entries!$F$5:$F$104,$C18)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8" s="29">
        <f>IF($A18="","",LEN($A18))</f>
        <v/>
      </c>
      <c r="C18" s="30">
        <f>IFERROR(MATCH(10,Entries!$H$5:$H$104,0),"")</f>
        <v/>
      </c>
    </row>
    <row r="19">
      <c r="A19" s="28">
        <f>IF($C19="","",LEFT(INDEX(Entries!$C$5:$C$104,$C19)&amp;REPT(" ",14),14)&amp;TEXT(ttValueDate,"ddmmyyyy")&amp;TEXT(INDEX(Entries!$E$5:$E$104,$C19)*IF(ttAmountUnit="Paise",1,100),REPT("0",23))&amp;INDEX(Entries!$D$5:$D$104,$C19)&amp;"0"&amp;TEXT(ttValueDate,"ddmmyyyy")&amp;REPT(" ",26)&amp;LEFT(SUBSTITUTE(SUBSTITUTE(SUBSTITUTE(SUBSTITUTE(SUBSTITUTE(SUBSTITUTE(INDEX(Entries!$F$5:$F$104,$C19)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9" s="29">
        <f>IF($A19="","",LEN($A19))</f>
        <v/>
      </c>
      <c r="C19" s="30">
        <f>IFERROR(MATCH(11,Entries!$H$5:$H$104,0),"")</f>
        <v/>
      </c>
    </row>
    <row r="20">
      <c r="A20" s="28">
        <f>IF($C20="","",LEFT(INDEX(Entries!$C$5:$C$104,$C20)&amp;REPT(" ",14),14)&amp;TEXT(ttValueDate,"ddmmyyyy")&amp;TEXT(INDEX(Entries!$E$5:$E$104,$C20)*IF(ttAmountUnit="Paise",1,100),REPT("0",23))&amp;INDEX(Entries!$D$5:$D$104,$C20)&amp;"0"&amp;TEXT(ttValueDate,"ddmmyyyy")&amp;REPT(" ",26)&amp;LEFT(SUBSTITUTE(SUBSTITUTE(SUBSTITUTE(SUBSTITUTE(SUBSTITUTE(SUBSTITUTE(INDEX(Entries!$F$5:$F$104,$C20)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0" s="29">
        <f>IF($A20="","",LEN($A20))</f>
        <v/>
      </c>
      <c r="C20" s="30">
        <f>IFERROR(MATCH(12,Entries!$H$5:$H$104,0),"")</f>
        <v/>
      </c>
    </row>
    <row r="21">
      <c r="A21" s="28">
        <f>IF($C21="","",LEFT(INDEX(Entries!$C$5:$C$104,$C21)&amp;REPT(" ",14),14)&amp;TEXT(ttValueDate,"ddmmyyyy")&amp;TEXT(INDEX(Entries!$E$5:$E$104,$C21)*IF(ttAmountUnit="Paise",1,100),REPT("0",23))&amp;INDEX(Entries!$D$5:$D$104,$C21)&amp;"0"&amp;TEXT(ttValueDate,"ddmmyyyy")&amp;REPT(" ",26)&amp;LEFT(SUBSTITUTE(SUBSTITUTE(SUBSTITUTE(SUBSTITUTE(SUBSTITUTE(SUBSTITUTE(INDEX(Entries!$F$5:$F$104,$C21)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1" s="29">
        <f>IF($A21="","",LEN($A21))</f>
        <v/>
      </c>
      <c r="C21" s="30">
        <f>IFERROR(MATCH(13,Entries!$H$5:$H$104,0),"")</f>
        <v/>
      </c>
    </row>
    <row r="22">
      <c r="A22" s="28">
        <f>IF($C22="","",LEFT(INDEX(Entries!$C$5:$C$104,$C22)&amp;REPT(" ",14),14)&amp;TEXT(ttValueDate,"ddmmyyyy")&amp;TEXT(INDEX(Entries!$E$5:$E$104,$C22)*IF(ttAmountUnit="Paise",1,100),REPT("0",23))&amp;INDEX(Entries!$D$5:$D$104,$C22)&amp;"0"&amp;TEXT(ttValueDate,"ddmmyyyy")&amp;REPT(" ",26)&amp;LEFT(SUBSTITUTE(SUBSTITUTE(SUBSTITUTE(SUBSTITUTE(SUBSTITUTE(SUBSTITUTE(INDEX(Entries!$F$5:$F$104,$C22)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2" s="29">
        <f>IF($A22="","",LEN($A22))</f>
        <v/>
      </c>
      <c r="C22" s="30">
        <f>IFERROR(MATCH(14,Entries!$H$5:$H$104,0),"")</f>
        <v/>
      </c>
    </row>
    <row r="23">
      <c r="A23" s="28">
        <f>IF($C23="","",LEFT(INDEX(Entries!$C$5:$C$104,$C23)&amp;REPT(" ",14),14)&amp;TEXT(ttValueDate,"ddmmyyyy")&amp;TEXT(INDEX(Entries!$E$5:$E$104,$C23)*IF(ttAmountUnit="Paise",1,100),REPT("0",23))&amp;INDEX(Entries!$D$5:$D$104,$C23)&amp;"0"&amp;TEXT(ttValueDate,"ddmmyyyy")&amp;REPT(" ",26)&amp;LEFT(SUBSTITUTE(SUBSTITUTE(SUBSTITUTE(SUBSTITUTE(SUBSTITUTE(SUBSTITUTE(INDEX(Entries!$F$5:$F$104,$C23)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3" s="29">
        <f>IF($A23="","",LEN($A23))</f>
        <v/>
      </c>
      <c r="C23" s="30">
        <f>IFERROR(MATCH(15,Entries!$H$5:$H$104,0),"")</f>
        <v/>
      </c>
    </row>
    <row r="24">
      <c r="A24" s="28">
        <f>IF($C24="","",LEFT(INDEX(Entries!$C$5:$C$104,$C24)&amp;REPT(" ",14),14)&amp;TEXT(ttValueDate,"ddmmyyyy")&amp;TEXT(INDEX(Entries!$E$5:$E$104,$C24)*IF(ttAmountUnit="Paise",1,100),REPT("0",23))&amp;INDEX(Entries!$D$5:$D$104,$C24)&amp;"0"&amp;TEXT(ttValueDate,"ddmmyyyy")&amp;REPT(" ",26)&amp;LEFT(SUBSTITUTE(SUBSTITUTE(SUBSTITUTE(SUBSTITUTE(SUBSTITUTE(SUBSTITUTE(INDEX(Entries!$F$5:$F$104,$C24)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4" s="29">
        <f>IF($A24="","",LEN($A24))</f>
        <v/>
      </c>
      <c r="C24" s="30">
        <f>IFERROR(MATCH(16,Entries!$H$5:$H$104,0),"")</f>
        <v/>
      </c>
    </row>
    <row r="25">
      <c r="A25" s="28">
        <f>IF($C25="","",LEFT(INDEX(Entries!$C$5:$C$104,$C25)&amp;REPT(" ",14),14)&amp;TEXT(ttValueDate,"ddmmyyyy")&amp;TEXT(INDEX(Entries!$E$5:$E$104,$C25)*IF(ttAmountUnit="Paise",1,100),REPT("0",23))&amp;INDEX(Entries!$D$5:$D$104,$C25)&amp;"0"&amp;TEXT(ttValueDate,"ddmmyyyy")&amp;REPT(" ",26)&amp;LEFT(SUBSTITUTE(SUBSTITUTE(SUBSTITUTE(SUBSTITUTE(SUBSTITUTE(SUBSTITUTE(INDEX(Entries!$F$5:$F$104,$C25)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5" s="29">
        <f>IF($A25="","",LEN($A25))</f>
        <v/>
      </c>
      <c r="C25" s="30">
        <f>IFERROR(MATCH(17,Entries!$H$5:$H$104,0),"")</f>
        <v/>
      </c>
    </row>
    <row r="26">
      <c r="A26" s="28">
        <f>IF($C26="","",LEFT(INDEX(Entries!$C$5:$C$104,$C26)&amp;REPT(" ",14),14)&amp;TEXT(ttValueDate,"ddmmyyyy")&amp;TEXT(INDEX(Entries!$E$5:$E$104,$C26)*IF(ttAmountUnit="Paise",1,100),REPT("0",23))&amp;INDEX(Entries!$D$5:$D$104,$C26)&amp;"0"&amp;TEXT(ttValueDate,"ddmmyyyy")&amp;REPT(" ",26)&amp;LEFT(SUBSTITUTE(SUBSTITUTE(SUBSTITUTE(SUBSTITUTE(SUBSTITUTE(SUBSTITUTE(INDEX(Entries!$F$5:$F$104,$C26)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6" s="29">
        <f>IF($A26="","",LEN($A26))</f>
        <v/>
      </c>
      <c r="C26" s="30">
        <f>IFERROR(MATCH(18,Entries!$H$5:$H$104,0),"")</f>
        <v/>
      </c>
    </row>
    <row r="27">
      <c r="A27" s="28">
        <f>IF($C27="","",LEFT(INDEX(Entries!$C$5:$C$104,$C27)&amp;REPT(" ",14),14)&amp;TEXT(ttValueDate,"ddmmyyyy")&amp;TEXT(INDEX(Entries!$E$5:$E$104,$C27)*IF(ttAmountUnit="Paise",1,100),REPT("0",23))&amp;INDEX(Entries!$D$5:$D$104,$C27)&amp;"0"&amp;TEXT(ttValueDate,"ddmmyyyy")&amp;REPT(" ",26)&amp;LEFT(SUBSTITUTE(SUBSTITUTE(SUBSTITUTE(SUBSTITUTE(SUBSTITUTE(SUBSTITUTE(INDEX(Entries!$F$5:$F$104,$C27)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7" s="29">
        <f>IF($A27="","",LEN($A27))</f>
        <v/>
      </c>
      <c r="C27" s="30">
        <f>IFERROR(MATCH(19,Entries!$H$5:$H$104,0),"")</f>
        <v/>
      </c>
    </row>
    <row r="28">
      <c r="A28" s="28">
        <f>IF($C28="","",LEFT(INDEX(Entries!$C$5:$C$104,$C28)&amp;REPT(" ",14),14)&amp;TEXT(ttValueDate,"ddmmyyyy")&amp;TEXT(INDEX(Entries!$E$5:$E$104,$C28)*IF(ttAmountUnit="Paise",1,100),REPT("0",23))&amp;INDEX(Entries!$D$5:$D$104,$C28)&amp;"0"&amp;TEXT(ttValueDate,"ddmmyyyy")&amp;REPT(" ",26)&amp;LEFT(SUBSTITUTE(SUBSTITUTE(SUBSTITUTE(SUBSTITUTE(SUBSTITUTE(SUBSTITUTE(INDEX(Entries!$F$5:$F$104,$C28)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8" s="29">
        <f>IF($A28="","",LEN($A28))</f>
        <v/>
      </c>
      <c r="C28" s="30">
        <f>IFERROR(MATCH(20,Entries!$H$5:$H$104,0),"")</f>
        <v/>
      </c>
    </row>
    <row r="29">
      <c r="A29" s="28">
        <f>IF($C29="","",LEFT(INDEX(Entries!$C$5:$C$104,$C29)&amp;REPT(" ",14),14)&amp;TEXT(ttValueDate,"ddmmyyyy")&amp;TEXT(INDEX(Entries!$E$5:$E$104,$C29)*IF(ttAmountUnit="Paise",1,100),REPT("0",23))&amp;INDEX(Entries!$D$5:$D$104,$C29)&amp;"0"&amp;TEXT(ttValueDate,"ddmmyyyy")&amp;REPT(" ",26)&amp;LEFT(SUBSTITUTE(SUBSTITUTE(SUBSTITUTE(SUBSTITUTE(SUBSTITUTE(SUBSTITUTE(INDEX(Entries!$F$5:$F$104,$C29)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29" s="29">
        <f>IF($A29="","",LEN($A29))</f>
        <v/>
      </c>
      <c r="C29" s="30">
        <f>IFERROR(MATCH(21,Entries!$H$5:$H$104,0),"")</f>
        <v/>
      </c>
    </row>
    <row r="30">
      <c r="A30" s="28">
        <f>IF($C30="","",LEFT(INDEX(Entries!$C$5:$C$104,$C30)&amp;REPT(" ",14),14)&amp;TEXT(ttValueDate,"ddmmyyyy")&amp;TEXT(INDEX(Entries!$E$5:$E$104,$C30)*IF(ttAmountUnit="Paise",1,100),REPT("0",23))&amp;INDEX(Entries!$D$5:$D$104,$C30)&amp;"0"&amp;TEXT(ttValueDate,"ddmmyyyy")&amp;REPT(" ",26)&amp;LEFT(SUBSTITUTE(SUBSTITUTE(SUBSTITUTE(SUBSTITUTE(SUBSTITUTE(SUBSTITUTE(INDEX(Entries!$F$5:$F$104,$C30)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0" s="29">
        <f>IF($A30="","",LEN($A30))</f>
        <v/>
      </c>
      <c r="C30" s="30">
        <f>IFERROR(MATCH(22,Entries!$H$5:$H$104,0),"")</f>
        <v/>
      </c>
    </row>
    <row r="31">
      <c r="A31" s="28">
        <f>IF($C31="","",LEFT(INDEX(Entries!$C$5:$C$104,$C31)&amp;REPT(" ",14),14)&amp;TEXT(ttValueDate,"ddmmyyyy")&amp;TEXT(INDEX(Entries!$E$5:$E$104,$C31)*IF(ttAmountUnit="Paise",1,100),REPT("0",23))&amp;INDEX(Entries!$D$5:$D$104,$C31)&amp;"0"&amp;TEXT(ttValueDate,"ddmmyyyy")&amp;REPT(" ",26)&amp;LEFT(SUBSTITUTE(SUBSTITUTE(SUBSTITUTE(SUBSTITUTE(SUBSTITUTE(SUBSTITUTE(INDEX(Entries!$F$5:$F$104,$C31)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1" s="29">
        <f>IF($A31="","",LEN($A31))</f>
        <v/>
      </c>
      <c r="C31" s="30">
        <f>IFERROR(MATCH(23,Entries!$H$5:$H$104,0),"")</f>
        <v/>
      </c>
    </row>
    <row r="32">
      <c r="A32" s="28">
        <f>IF($C32="","",LEFT(INDEX(Entries!$C$5:$C$104,$C32)&amp;REPT(" ",14),14)&amp;TEXT(ttValueDate,"ddmmyyyy")&amp;TEXT(INDEX(Entries!$E$5:$E$104,$C32)*IF(ttAmountUnit="Paise",1,100),REPT("0",23))&amp;INDEX(Entries!$D$5:$D$104,$C32)&amp;"0"&amp;TEXT(ttValueDate,"ddmmyyyy")&amp;REPT(" ",26)&amp;LEFT(SUBSTITUTE(SUBSTITUTE(SUBSTITUTE(SUBSTITUTE(SUBSTITUTE(SUBSTITUTE(INDEX(Entries!$F$5:$F$104,$C32)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2" s="29">
        <f>IF($A32="","",LEN($A32))</f>
        <v/>
      </c>
      <c r="C32" s="30">
        <f>IFERROR(MATCH(24,Entries!$H$5:$H$104,0),"")</f>
        <v/>
      </c>
    </row>
    <row r="33">
      <c r="A33" s="28">
        <f>IF($C33="","",LEFT(INDEX(Entries!$C$5:$C$104,$C33)&amp;REPT(" ",14),14)&amp;TEXT(ttValueDate,"ddmmyyyy")&amp;TEXT(INDEX(Entries!$E$5:$E$104,$C33)*IF(ttAmountUnit="Paise",1,100),REPT("0",23))&amp;INDEX(Entries!$D$5:$D$104,$C33)&amp;"0"&amp;TEXT(ttValueDate,"ddmmyyyy")&amp;REPT(" ",26)&amp;LEFT(SUBSTITUTE(SUBSTITUTE(SUBSTITUTE(SUBSTITUTE(SUBSTITUTE(SUBSTITUTE(INDEX(Entries!$F$5:$F$104,$C33)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3" s="29">
        <f>IF($A33="","",LEN($A33))</f>
        <v/>
      </c>
      <c r="C33" s="30">
        <f>IFERROR(MATCH(25,Entries!$H$5:$H$104,0),"")</f>
        <v/>
      </c>
    </row>
    <row r="34">
      <c r="A34" s="28">
        <f>IF($C34="","",LEFT(INDEX(Entries!$C$5:$C$104,$C34)&amp;REPT(" ",14),14)&amp;TEXT(ttValueDate,"ddmmyyyy")&amp;TEXT(INDEX(Entries!$E$5:$E$104,$C34)*IF(ttAmountUnit="Paise",1,100),REPT("0",23))&amp;INDEX(Entries!$D$5:$D$104,$C34)&amp;"0"&amp;TEXT(ttValueDate,"ddmmyyyy")&amp;REPT(" ",26)&amp;LEFT(SUBSTITUTE(SUBSTITUTE(SUBSTITUTE(SUBSTITUTE(SUBSTITUTE(SUBSTITUTE(INDEX(Entries!$F$5:$F$104,$C34)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4" s="29">
        <f>IF($A34="","",LEN($A34))</f>
        <v/>
      </c>
      <c r="C34" s="30">
        <f>IFERROR(MATCH(26,Entries!$H$5:$H$104,0),"")</f>
        <v/>
      </c>
    </row>
    <row r="35">
      <c r="A35" s="28">
        <f>IF($C35="","",LEFT(INDEX(Entries!$C$5:$C$104,$C35)&amp;REPT(" ",14),14)&amp;TEXT(ttValueDate,"ddmmyyyy")&amp;TEXT(INDEX(Entries!$E$5:$E$104,$C35)*IF(ttAmountUnit="Paise",1,100),REPT("0",23))&amp;INDEX(Entries!$D$5:$D$104,$C35)&amp;"0"&amp;TEXT(ttValueDate,"ddmmyyyy")&amp;REPT(" ",26)&amp;LEFT(SUBSTITUTE(SUBSTITUTE(SUBSTITUTE(SUBSTITUTE(SUBSTITUTE(SUBSTITUTE(INDEX(Entries!$F$5:$F$104,$C35)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5" s="29">
        <f>IF($A35="","",LEN($A35))</f>
        <v/>
      </c>
      <c r="C35" s="30">
        <f>IFERROR(MATCH(27,Entries!$H$5:$H$104,0),"")</f>
        <v/>
      </c>
    </row>
    <row r="36">
      <c r="A36" s="28">
        <f>IF($C36="","",LEFT(INDEX(Entries!$C$5:$C$104,$C36)&amp;REPT(" ",14),14)&amp;TEXT(ttValueDate,"ddmmyyyy")&amp;TEXT(INDEX(Entries!$E$5:$E$104,$C36)*IF(ttAmountUnit="Paise",1,100),REPT("0",23))&amp;INDEX(Entries!$D$5:$D$104,$C36)&amp;"0"&amp;TEXT(ttValueDate,"ddmmyyyy")&amp;REPT(" ",26)&amp;LEFT(SUBSTITUTE(SUBSTITUTE(SUBSTITUTE(SUBSTITUTE(SUBSTITUTE(SUBSTITUTE(INDEX(Entries!$F$5:$F$104,$C36)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6" s="29">
        <f>IF($A36="","",LEN($A36))</f>
        <v/>
      </c>
      <c r="C36" s="30">
        <f>IFERROR(MATCH(28,Entries!$H$5:$H$104,0),"")</f>
        <v/>
      </c>
    </row>
    <row r="37">
      <c r="A37" s="28">
        <f>IF($C37="","",LEFT(INDEX(Entries!$C$5:$C$104,$C37)&amp;REPT(" ",14),14)&amp;TEXT(ttValueDate,"ddmmyyyy")&amp;TEXT(INDEX(Entries!$E$5:$E$104,$C37)*IF(ttAmountUnit="Paise",1,100),REPT("0",23))&amp;INDEX(Entries!$D$5:$D$104,$C37)&amp;"0"&amp;TEXT(ttValueDate,"ddmmyyyy")&amp;REPT(" ",26)&amp;LEFT(SUBSTITUTE(SUBSTITUTE(SUBSTITUTE(SUBSTITUTE(SUBSTITUTE(SUBSTITUTE(INDEX(Entries!$F$5:$F$104,$C37)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7" s="29">
        <f>IF($A37="","",LEN($A37))</f>
        <v/>
      </c>
      <c r="C37" s="30">
        <f>IFERROR(MATCH(29,Entries!$H$5:$H$104,0),"")</f>
        <v/>
      </c>
    </row>
    <row r="38">
      <c r="A38" s="28">
        <f>IF($C38="","",LEFT(INDEX(Entries!$C$5:$C$104,$C38)&amp;REPT(" ",14),14)&amp;TEXT(ttValueDate,"ddmmyyyy")&amp;TEXT(INDEX(Entries!$E$5:$E$104,$C38)*IF(ttAmountUnit="Paise",1,100),REPT("0",23))&amp;INDEX(Entries!$D$5:$D$104,$C38)&amp;"0"&amp;TEXT(ttValueDate,"ddmmyyyy")&amp;REPT(" ",26)&amp;LEFT(SUBSTITUTE(SUBSTITUTE(SUBSTITUTE(SUBSTITUTE(SUBSTITUTE(SUBSTITUTE(INDEX(Entries!$F$5:$F$104,$C38)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8" s="29">
        <f>IF($A38="","",LEN($A38))</f>
        <v/>
      </c>
      <c r="C38" s="30">
        <f>IFERROR(MATCH(30,Entries!$H$5:$H$104,0),"")</f>
        <v/>
      </c>
    </row>
    <row r="39">
      <c r="A39" s="28">
        <f>IF($C39="","",LEFT(INDEX(Entries!$C$5:$C$104,$C39)&amp;REPT(" ",14),14)&amp;TEXT(ttValueDate,"ddmmyyyy")&amp;TEXT(INDEX(Entries!$E$5:$E$104,$C39)*IF(ttAmountUnit="Paise",1,100),REPT("0",23))&amp;INDEX(Entries!$D$5:$D$104,$C39)&amp;"0"&amp;TEXT(ttValueDate,"ddmmyyyy")&amp;REPT(" ",26)&amp;LEFT(SUBSTITUTE(SUBSTITUTE(SUBSTITUTE(SUBSTITUTE(SUBSTITUTE(SUBSTITUTE(INDEX(Entries!$F$5:$F$104,$C39)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39" s="29">
        <f>IF($A39="","",LEN($A39))</f>
        <v/>
      </c>
      <c r="C39" s="30">
        <f>IFERROR(MATCH(31,Entries!$H$5:$H$104,0),"")</f>
        <v/>
      </c>
    </row>
    <row r="40">
      <c r="A40" s="28">
        <f>IF($C40="","",LEFT(INDEX(Entries!$C$5:$C$104,$C40)&amp;REPT(" ",14),14)&amp;TEXT(ttValueDate,"ddmmyyyy")&amp;TEXT(INDEX(Entries!$E$5:$E$104,$C40)*IF(ttAmountUnit="Paise",1,100),REPT("0",23))&amp;INDEX(Entries!$D$5:$D$104,$C40)&amp;"0"&amp;TEXT(ttValueDate,"ddmmyyyy")&amp;REPT(" ",26)&amp;LEFT(SUBSTITUTE(SUBSTITUTE(SUBSTITUTE(SUBSTITUTE(SUBSTITUTE(SUBSTITUTE(INDEX(Entries!$F$5:$F$104,$C40)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0" s="29">
        <f>IF($A40="","",LEN($A40))</f>
        <v/>
      </c>
      <c r="C40" s="30">
        <f>IFERROR(MATCH(32,Entries!$H$5:$H$104,0),"")</f>
        <v/>
      </c>
    </row>
    <row r="41">
      <c r="A41" s="28">
        <f>IF($C41="","",LEFT(INDEX(Entries!$C$5:$C$104,$C41)&amp;REPT(" ",14),14)&amp;TEXT(ttValueDate,"ddmmyyyy")&amp;TEXT(INDEX(Entries!$E$5:$E$104,$C41)*IF(ttAmountUnit="Paise",1,100),REPT("0",23))&amp;INDEX(Entries!$D$5:$D$104,$C41)&amp;"0"&amp;TEXT(ttValueDate,"ddmmyyyy")&amp;REPT(" ",26)&amp;LEFT(SUBSTITUTE(SUBSTITUTE(SUBSTITUTE(SUBSTITUTE(SUBSTITUTE(SUBSTITUTE(INDEX(Entries!$F$5:$F$104,$C41)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1" s="29">
        <f>IF($A41="","",LEN($A41))</f>
        <v/>
      </c>
      <c r="C41" s="30">
        <f>IFERROR(MATCH(33,Entries!$H$5:$H$104,0),"")</f>
        <v/>
      </c>
    </row>
    <row r="42">
      <c r="A42" s="28">
        <f>IF($C42="","",LEFT(INDEX(Entries!$C$5:$C$104,$C42)&amp;REPT(" ",14),14)&amp;TEXT(ttValueDate,"ddmmyyyy")&amp;TEXT(INDEX(Entries!$E$5:$E$104,$C42)*IF(ttAmountUnit="Paise",1,100),REPT("0",23))&amp;INDEX(Entries!$D$5:$D$104,$C42)&amp;"0"&amp;TEXT(ttValueDate,"ddmmyyyy")&amp;REPT(" ",26)&amp;LEFT(SUBSTITUTE(SUBSTITUTE(SUBSTITUTE(SUBSTITUTE(SUBSTITUTE(SUBSTITUTE(INDEX(Entries!$F$5:$F$104,$C42)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2" s="29">
        <f>IF($A42="","",LEN($A42))</f>
        <v/>
      </c>
      <c r="C42" s="30">
        <f>IFERROR(MATCH(34,Entries!$H$5:$H$104,0),"")</f>
        <v/>
      </c>
    </row>
    <row r="43">
      <c r="A43" s="28">
        <f>IF($C43="","",LEFT(INDEX(Entries!$C$5:$C$104,$C43)&amp;REPT(" ",14),14)&amp;TEXT(ttValueDate,"ddmmyyyy")&amp;TEXT(INDEX(Entries!$E$5:$E$104,$C43)*IF(ttAmountUnit="Paise",1,100),REPT("0",23))&amp;INDEX(Entries!$D$5:$D$104,$C43)&amp;"0"&amp;TEXT(ttValueDate,"ddmmyyyy")&amp;REPT(" ",26)&amp;LEFT(SUBSTITUTE(SUBSTITUTE(SUBSTITUTE(SUBSTITUTE(SUBSTITUTE(SUBSTITUTE(INDEX(Entries!$F$5:$F$104,$C43)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3" s="29">
        <f>IF($A43="","",LEN($A43))</f>
        <v/>
      </c>
      <c r="C43" s="30">
        <f>IFERROR(MATCH(35,Entries!$H$5:$H$104,0),"")</f>
        <v/>
      </c>
    </row>
    <row r="44">
      <c r="A44" s="28">
        <f>IF($C44="","",LEFT(INDEX(Entries!$C$5:$C$104,$C44)&amp;REPT(" ",14),14)&amp;TEXT(ttValueDate,"ddmmyyyy")&amp;TEXT(INDEX(Entries!$E$5:$E$104,$C44)*IF(ttAmountUnit="Paise",1,100),REPT("0",23))&amp;INDEX(Entries!$D$5:$D$104,$C44)&amp;"0"&amp;TEXT(ttValueDate,"ddmmyyyy")&amp;REPT(" ",26)&amp;LEFT(SUBSTITUTE(SUBSTITUTE(SUBSTITUTE(SUBSTITUTE(SUBSTITUTE(SUBSTITUTE(INDEX(Entries!$F$5:$F$104,$C44)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4" s="29">
        <f>IF($A44="","",LEN($A44))</f>
        <v/>
      </c>
      <c r="C44" s="30">
        <f>IFERROR(MATCH(36,Entries!$H$5:$H$104,0),"")</f>
        <v/>
      </c>
    </row>
    <row r="45">
      <c r="A45" s="28">
        <f>IF($C45="","",LEFT(INDEX(Entries!$C$5:$C$104,$C45)&amp;REPT(" ",14),14)&amp;TEXT(ttValueDate,"ddmmyyyy")&amp;TEXT(INDEX(Entries!$E$5:$E$104,$C45)*IF(ttAmountUnit="Paise",1,100),REPT("0",23))&amp;INDEX(Entries!$D$5:$D$104,$C45)&amp;"0"&amp;TEXT(ttValueDate,"ddmmyyyy")&amp;REPT(" ",26)&amp;LEFT(SUBSTITUTE(SUBSTITUTE(SUBSTITUTE(SUBSTITUTE(SUBSTITUTE(SUBSTITUTE(INDEX(Entries!$F$5:$F$104,$C45)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5" s="29">
        <f>IF($A45="","",LEN($A45))</f>
        <v/>
      </c>
      <c r="C45" s="30">
        <f>IFERROR(MATCH(37,Entries!$H$5:$H$104,0),"")</f>
        <v/>
      </c>
    </row>
    <row r="46">
      <c r="A46" s="28">
        <f>IF($C46="","",LEFT(INDEX(Entries!$C$5:$C$104,$C46)&amp;REPT(" ",14),14)&amp;TEXT(ttValueDate,"ddmmyyyy")&amp;TEXT(INDEX(Entries!$E$5:$E$104,$C46)*IF(ttAmountUnit="Paise",1,100),REPT("0",23))&amp;INDEX(Entries!$D$5:$D$104,$C46)&amp;"0"&amp;TEXT(ttValueDate,"ddmmyyyy")&amp;REPT(" ",26)&amp;LEFT(SUBSTITUTE(SUBSTITUTE(SUBSTITUTE(SUBSTITUTE(SUBSTITUTE(SUBSTITUTE(INDEX(Entries!$F$5:$F$104,$C46)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6" s="29">
        <f>IF($A46="","",LEN($A46))</f>
        <v/>
      </c>
      <c r="C46" s="30">
        <f>IFERROR(MATCH(38,Entries!$H$5:$H$104,0),"")</f>
        <v/>
      </c>
    </row>
    <row r="47">
      <c r="A47" s="28">
        <f>IF($C47="","",LEFT(INDEX(Entries!$C$5:$C$104,$C47)&amp;REPT(" ",14),14)&amp;TEXT(ttValueDate,"ddmmyyyy")&amp;TEXT(INDEX(Entries!$E$5:$E$104,$C47)*IF(ttAmountUnit="Paise",1,100),REPT("0",23))&amp;INDEX(Entries!$D$5:$D$104,$C47)&amp;"0"&amp;TEXT(ttValueDate,"ddmmyyyy")&amp;REPT(" ",26)&amp;LEFT(SUBSTITUTE(SUBSTITUTE(SUBSTITUTE(SUBSTITUTE(SUBSTITUTE(SUBSTITUTE(INDEX(Entries!$F$5:$F$104,$C47)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7" s="29">
        <f>IF($A47="","",LEN($A47))</f>
        <v/>
      </c>
      <c r="C47" s="30">
        <f>IFERROR(MATCH(39,Entries!$H$5:$H$104,0),"")</f>
        <v/>
      </c>
    </row>
    <row r="48">
      <c r="A48" s="28">
        <f>IF($C48="","",LEFT(INDEX(Entries!$C$5:$C$104,$C48)&amp;REPT(" ",14),14)&amp;TEXT(ttValueDate,"ddmmyyyy")&amp;TEXT(INDEX(Entries!$E$5:$E$104,$C48)*IF(ttAmountUnit="Paise",1,100),REPT("0",23))&amp;INDEX(Entries!$D$5:$D$104,$C48)&amp;"0"&amp;TEXT(ttValueDate,"ddmmyyyy")&amp;REPT(" ",26)&amp;LEFT(SUBSTITUTE(SUBSTITUTE(SUBSTITUTE(SUBSTITUTE(SUBSTITUTE(SUBSTITUTE(INDEX(Entries!$F$5:$F$104,$C48)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8" s="29">
        <f>IF($A48="","",LEN($A48))</f>
        <v/>
      </c>
      <c r="C48" s="30">
        <f>IFERROR(MATCH(40,Entries!$H$5:$H$104,0),"")</f>
        <v/>
      </c>
    </row>
    <row r="49">
      <c r="A49" s="28">
        <f>IF($C49="","",LEFT(INDEX(Entries!$C$5:$C$104,$C49)&amp;REPT(" ",14),14)&amp;TEXT(ttValueDate,"ddmmyyyy")&amp;TEXT(INDEX(Entries!$E$5:$E$104,$C49)*IF(ttAmountUnit="Paise",1,100),REPT("0",23))&amp;INDEX(Entries!$D$5:$D$104,$C49)&amp;"0"&amp;TEXT(ttValueDate,"ddmmyyyy")&amp;REPT(" ",26)&amp;LEFT(SUBSTITUTE(SUBSTITUTE(SUBSTITUTE(SUBSTITUTE(SUBSTITUTE(SUBSTITUTE(INDEX(Entries!$F$5:$F$104,$C49)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49" s="29">
        <f>IF($A49="","",LEN($A49))</f>
        <v/>
      </c>
      <c r="C49" s="30">
        <f>IFERROR(MATCH(41,Entries!$H$5:$H$104,0),"")</f>
        <v/>
      </c>
    </row>
    <row r="50">
      <c r="A50" s="28">
        <f>IF($C50="","",LEFT(INDEX(Entries!$C$5:$C$104,$C50)&amp;REPT(" ",14),14)&amp;TEXT(ttValueDate,"ddmmyyyy")&amp;TEXT(INDEX(Entries!$E$5:$E$104,$C50)*IF(ttAmountUnit="Paise",1,100),REPT("0",23))&amp;INDEX(Entries!$D$5:$D$104,$C50)&amp;"0"&amp;TEXT(ttValueDate,"ddmmyyyy")&amp;REPT(" ",26)&amp;LEFT(SUBSTITUTE(SUBSTITUTE(SUBSTITUTE(SUBSTITUTE(SUBSTITUTE(SUBSTITUTE(INDEX(Entries!$F$5:$F$104,$C50)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0" s="29">
        <f>IF($A50="","",LEN($A50))</f>
        <v/>
      </c>
      <c r="C50" s="30">
        <f>IFERROR(MATCH(42,Entries!$H$5:$H$104,0),"")</f>
        <v/>
      </c>
    </row>
    <row r="51">
      <c r="A51" s="28">
        <f>IF($C51="","",LEFT(INDEX(Entries!$C$5:$C$104,$C51)&amp;REPT(" ",14),14)&amp;TEXT(ttValueDate,"ddmmyyyy")&amp;TEXT(INDEX(Entries!$E$5:$E$104,$C51)*IF(ttAmountUnit="Paise",1,100),REPT("0",23))&amp;INDEX(Entries!$D$5:$D$104,$C51)&amp;"0"&amp;TEXT(ttValueDate,"ddmmyyyy")&amp;REPT(" ",26)&amp;LEFT(SUBSTITUTE(SUBSTITUTE(SUBSTITUTE(SUBSTITUTE(SUBSTITUTE(SUBSTITUTE(INDEX(Entries!$F$5:$F$104,$C51)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1" s="29">
        <f>IF($A51="","",LEN($A51))</f>
        <v/>
      </c>
      <c r="C51" s="30">
        <f>IFERROR(MATCH(43,Entries!$H$5:$H$104,0),"")</f>
        <v/>
      </c>
    </row>
    <row r="52">
      <c r="A52" s="28">
        <f>IF($C52="","",LEFT(INDEX(Entries!$C$5:$C$104,$C52)&amp;REPT(" ",14),14)&amp;TEXT(ttValueDate,"ddmmyyyy")&amp;TEXT(INDEX(Entries!$E$5:$E$104,$C52)*IF(ttAmountUnit="Paise",1,100),REPT("0",23))&amp;INDEX(Entries!$D$5:$D$104,$C52)&amp;"0"&amp;TEXT(ttValueDate,"ddmmyyyy")&amp;REPT(" ",26)&amp;LEFT(SUBSTITUTE(SUBSTITUTE(SUBSTITUTE(SUBSTITUTE(SUBSTITUTE(SUBSTITUTE(INDEX(Entries!$F$5:$F$104,$C52)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2" s="29">
        <f>IF($A52="","",LEN($A52))</f>
        <v/>
      </c>
      <c r="C52" s="30">
        <f>IFERROR(MATCH(44,Entries!$H$5:$H$104,0),"")</f>
        <v/>
      </c>
    </row>
    <row r="53">
      <c r="A53" s="28">
        <f>IF($C53="","",LEFT(INDEX(Entries!$C$5:$C$104,$C53)&amp;REPT(" ",14),14)&amp;TEXT(ttValueDate,"ddmmyyyy")&amp;TEXT(INDEX(Entries!$E$5:$E$104,$C53)*IF(ttAmountUnit="Paise",1,100),REPT("0",23))&amp;INDEX(Entries!$D$5:$D$104,$C53)&amp;"0"&amp;TEXT(ttValueDate,"ddmmyyyy")&amp;REPT(" ",26)&amp;LEFT(SUBSTITUTE(SUBSTITUTE(SUBSTITUTE(SUBSTITUTE(SUBSTITUTE(SUBSTITUTE(INDEX(Entries!$F$5:$F$104,$C53)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3" s="29">
        <f>IF($A53="","",LEN($A53))</f>
        <v/>
      </c>
      <c r="C53" s="30">
        <f>IFERROR(MATCH(45,Entries!$H$5:$H$104,0),"")</f>
        <v/>
      </c>
    </row>
    <row r="54">
      <c r="A54" s="28">
        <f>IF($C54="","",LEFT(INDEX(Entries!$C$5:$C$104,$C54)&amp;REPT(" ",14),14)&amp;TEXT(ttValueDate,"ddmmyyyy")&amp;TEXT(INDEX(Entries!$E$5:$E$104,$C54)*IF(ttAmountUnit="Paise",1,100),REPT("0",23))&amp;INDEX(Entries!$D$5:$D$104,$C54)&amp;"0"&amp;TEXT(ttValueDate,"ddmmyyyy")&amp;REPT(" ",26)&amp;LEFT(SUBSTITUTE(SUBSTITUTE(SUBSTITUTE(SUBSTITUTE(SUBSTITUTE(SUBSTITUTE(INDEX(Entries!$F$5:$F$104,$C54)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4" s="29">
        <f>IF($A54="","",LEN($A54))</f>
        <v/>
      </c>
      <c r="C54" s="30">
        <f>IFERROR(MATCH(46,Entries!$H$5:$H$104,0),"")</f>
        <v/>
      </c>
    </row>
    <row r="55">
      <c r="A55" s="28">
        <f>IF($C55="","",LEFT(INDEX(Entries!$C$5:$C$104,$C55)&amp;REPT(" ",14),14)&amp;TEXT(ttValueDate,"ddmmyyyy")&amp;TEXT(INDEX(Entries!$E$5:$E$104,$C55)*IF(ttAmountUnit="Paise",1,100),REPT("0",23))&amp;INDEX(Entries!$D$5:$D$104,$C55)&amp;"0"&amp;TEXT(ttValueDate,"ddmmyyyy")&amp;REPT(" ",26)&amp;LEFT(SUBSTITUTE(SUBSTITUTE(SUBSTITUTE(SUBSTITUTE(SUBSTITUTE(SUBSTITUTE(INDEX(Entries!$F$5:$F$104,$C55)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5" s="29">
        <f>IF($A55="","",LEN($A55))</f>
        <v/>
      </c>
      <c r="C55" s="30">
        <f>IFERROR(MATCH(47,Entries!$H$5:$H$104,0),"")</f>
        <v/>
      </c>
    </row>
    <row r="56">
      <c r="A56" s="28">
        <f>IF($C56="","",LEFT(INDEX(Entries!$C$5:$C$104,$C56)&amp;REPT(" ",14),14)&amp;TEXT(ttValueDate,"ddmmyyyy")&amp;TEXT(INDEX(Entries!$E$5:$E$104,$C56)*IF(ttAmountUnit="Paise",1,100),REPT("0",23))&amp;INDEX(Entries!$D$5:$D$104,$C56)&amp;"0"&amp;TEXT(ttValueDate,"ddmmyyyy")&amp;REPT(" ",26)&amp;LEFT(SUBSTITUTE(SUBSTITUTE(SUBSTITUTE(SUBSTITUTE(SUBSTITUTE(SUBSTITUTE(INDEX(Entries!$F$5:$F$104,$C56)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6" s="29">
        <f>IF($A56="","",LEN($A56))</f>
        <v/>
      </c>
      <c r="C56" s="30">
        <f>IFERROR(MATCH(48,Entries!$H$5:$H$104,0),"")</f>
        <v/>
      </c>
    </row>
    <row r="57">
      <c r="A57" s="28">
        <f>IF($C57="","",LEFT(INDEX(Entries!$C$5:$C$104,$C57)&amp;REPT(" ",14),14)&amp;TEXT(ttValueDate,"ddmmyyyy")&amp;TEXT(INDEX(Entries!$E$5:$E$104,$C57)*IF(ttAmountUnit="Paise",1,100),REPT("0",23))&amp;INDEX(Entries!$D$5:$D$104,$C57)&amp;"0"&amp;TEXT(ttValueDate,"ddmmyyyy")&amp;REPT(" ",26)&amp;LEFT(SUBSTITUTE(SUBSTITUTE(SUBSTITUTE(SUBSTITUTE(SUBSTITUTE(SUBSTITUTE(INDEX(Entries!$F$5:$F$104,$C57)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7" s="29">
        <f>IF($A57="","",LEN($A57))</f>
        <v/>
      </c>
      <c r="C57" s="30">
        <f>IFERROR(MATCH(49,Entries!$H$5:$H$104,0),"")</f>
        <v/>
      </c>
    </row>
    <row r="58">
      <c r="A58" s="28">
        <f>IF($C58="","",LEFT(INDEX(Entries!$C$5:$C$104,$C58)&amp;REPT(" ",14),14)&amp;TEXT(ttValueDate,"ddmmyyyy")&amp;TEXT(INDEX(Entries!$E$5:$E$104,$C58)*IF(ttAmountUnit="Paise",1,100),REPT("0",23))&amp;INDEX(Entries!$D$5:$D$104,$C58)&amp;"0"&amp;TEXT(ttValueDate,"ddmmyyyy")&amp;REPT(" ",26)&amp;LEFT(SUBSTITUTE(SUBSTITUTE(SUBSTITUTE(SUBSTITUTE(SUBSTITUTE(SUBSTITUTE(INDEX(Entries!$F$5:$F$104,$C58)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8" s="29">
        <f>IF($A58="","",LEN($A58))</f>
        <v/>
      </c>
      <c r="C58" s="30">
        <f>IFERROR(MATCH(50,Entries!$H$5:$H$104,0),"")</f>
        <v/>
      </c>
    </row>
    <row r="59">
      <c r="A59" s="28">
        <f>IF($C59="","",LEFT(INDEX(Entries!$C$5:$C$104,$C59)&amp;REPT(" ",14),14)&amp;TEXT(ttValueDate,"ddmmyyyy")&amp;TEXT(INDEX(Entries!$E$5:$E$104,$C59)*IF(ttAmountUnit="Paise",1,100),REPT("0",23))&amp;INDEX(Entries!$D$5:$D$104,$C59)&amp;"0"&amp;TEXT(ttValueDate,"ddmmyyyy")&amp;REPT(" ",26)&amp;LEFT(SUBSTITUTE(SUBSTITUTE(SUBSTITUTE(SUBSTITUTE(SUBSTITUTE(SUBSTITUTE(INDEX(Entries!$F$5:$F$104,$C59)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59" s="29">
        <f>IF($A59="","",LEN($A59))</f>
        <v/>
      </c>
      <c r="C59" s="30">
        <f>IFERROR(MATCH(51,Entries!$H$5:$H$104,0),"")</f>
        <v/>
      </c>
    </row>
    <row r="60">
      <c r="A60" s="28">
        <f>IF($C60="","",LEFT(INDEX(Entries!$C$5:$C$104,$C60)&amp;REPT(" ",14),14)&amp;TEXT(ttValueDate,"ddmmyyyy")&amp;TEXT(INDEX(Entries!$E$5:$E$104,$C60)*IF(ttAmountUnit="Paise",1,100),REPT("0",23))&amp;INDEX(Entries!$D$5:$D$104,$C60)&amp;"0"&amp;TEXT(ttValueDate,"ddmmyyyy")&amp;REPT(" ",26)&amp;LEFT(SUBSTITUTE(SUBSTITUTE(SUBSTITUTE(SUBSTITUTE(SUBSTITUTE(SUBSTITUTE(INDEX(Entries!$F$5:$F$104,$C60)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0" s="29">
        <f>IF($A60="","",LEN($A60))</f>
        <v/>
      </c>
      <c r="C60" s="30">
        <f>IFERROR(MATCH(52,Entries!$H$5:$H$104,0),"")</f>
        <v/>
      </c>
    </row>
    <row r="61">
      <c r="A61" s="28">
        <f>IF($C61="","",LEFT(INDEX(Entries!$C$5:$C$104,$C61)&amp;REPT(" ",14),14)&amp;TEXT(ttValueDate,"ddmmyyyy")&amp;TEXT(INDEX(Entries!$E$5:$E$104,$C61)*IF(ttAmountUnit="Paise",1,100),REPT("0",23))&amp;INDEX(Entries!$D$5:$D$104,$C61)&amp;"0"&amp;TEXT(ttValueDate,"ddmmyyyy")&amp;REPT(" ",26)&amp;LEFT(SUBSTITUTE(SUBSTITUTE(SUBSTITUTE(SUBSTITUTE(SUBSTITUTE(SUBSTITUTE(INDEX(Entries!$F$5:$F$104,$C61)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1" s="29">
        <f>IF($A61="","",LEN($A61))</f>
        <v/>
      </c>
      <c r="C61" s="30">
        <f>IFERROR(MATCH(53,Entries!$H$5:$H$104,0),"")</f>
        <v/>
      </c>
    </row>
    <row r="62">
      <c r="A62" s="28">
        <f>IF($C62="","",LEFT(INDEX(Entries!$C$5:$C$104,$C62)&amp;REPT(" ",14),14)&amp;TEXT(ttValueDate,"ddmmyyyy")&amp;TEXT(INDEX(Entries!$E$5:$E$104,$C62)*IF(ttAmountUnit="Paise",1,100),REPT("0",23))&amp;INDEX(Entries!$D$5:$D$104,$C62)&amp;"0"&amp;TEXT(ttValueDate,"ddmmyyyy")&amp;REPT(" ",26)&amp;LEFT(SUBSTITUTE(SUBSTITUTE(SUBSTITUTE(SUBSTITUTE(SUBSTITUTE(SUBSTITUTE(INDEX(Entries!$F$5:$F$104,$C62)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2" s="29">
        <f>IF($A62="","",LEN($A62))</f>
        <v/>
      </c>
      <c r="C62" s="30">
        <f>IFERROR(MATCH(54,Entries!$H$5:$H$104,0),"")</f>
        <v/>
      </c>
    </row>
    <row r="63">
      <c r="A63" s="28">
        <f>IF($C63="","",LEFT(INDEX(Entries!$C$5:$C$104,$C63)&amp;REPT(" ",14),14)&amp;TEXT(ttValueDate,"ddmmyyyy")&amp;TEXT(INDEX(Entries!$E$5:$E$104,$C63)*IF(ttAmountUnit="Paise",1,100),REPT("0",23))&amp;INDEX(Entries!$D$5:$D$104,$C63)&amp;"0"&amp;TEXT(ttValueDate,"ddmmyyyy")&amp;REPT(" ",26)&amp;LEFT(SUBSTITUTE(SUBSTITUTE(SUBSTITUTE(SUBSTITUTE(SUBSTITUTE(SUBSTITUTE(INDEX(Entries!$F$5:$F$104,$C63)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3" s="29">
        <f>IF($A63="","",LEN($A63))</f>
        <v/>
      </c>
      <c r="C63" s="30">
        <f>IFERROR(MATCH(55,Entries!$H$5:$H$104,0),"")</f>
        <v/>
      </c>
    </row>
    <row r="64">
      <c r="A64" s="28">
        <f>IF($C64="","",LEFT(INDEX(Entries!$C$5:$C$104,$C64)&amp;REPT(" ",14),14)&amp;TEXT(ttValueDate,"ddmmyyyy")&amp;TEXT(INDEX(Entries!$E$5:$E$104,$C64)*IF(ttAmountUnit="Paise",1,100),REPT("0",23))&amp;INDEX(Entries!$D$5:$D$104,$C64)&amp;"0"&amp;TEXT(ttValueDate,"ddmmyyyy")&amp;REPT(" ",26)&amp;LEFT(SUBSTITUTE(SUBSTITUTE(SUBSTITUTE(SUBSTITUTE(SUBSTITUTE(SUBSTITUTE(INDEX(Entries!$F$5:$F$104,$C64)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4" s="29">
        <f>IF($A64="","",LEN($A64))</f>
        <v/>
      </c>
      <c r="C64" s="30">
        <f>IFERROR(MATCH(56,Entries!$H$5:$H$104,0),"")</f>
        <v/>
      </c>
    </row>
    <row r="65">
      <c r="A65" s="28">
        <f>IF($C65="","",LEFT(INDEX(Entries!$C$5:$C$104,$C65)&amp;REPT(" ",14),14)&amp;TEXT(ttValueDate,"ddmmyyyy")&amp;TEXT(INDEX(Entries!$E$5:$E$104,$C65)*IF(ttAmountUnit="Paise",1,100),REPT("0",23))&amp;INDEX(Entries!$D$5:$D$104,$C65)&amp;"0"&amp;TEXT(ttValueDate,"ddmmyyyy")&amp;REPT(" ",26)&amp;LEFT(SUBSTITUTE(SUBSTITUTE(SUBSTITUTE(SUBSTITUTE(SUBSTITUTE(SUBSTITUTE(INDEX(Entries!$F$5:$F$104,$C65)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5" s="29">
        <f>IF($A65="","",LEN($A65))</f>
        <v/>
      </c>
      <c r="C65" s="30">
        <f>IFERROR(MATCH(57,Entries!$H$5:$H$104,0),"")</f>
        <v/>
      </c>
    </row>
    <row r="66">
      <c r="A66" s="28">
        <f>IF($C66="","",LEFT(INDEX(Entries!$C$5:$C$104,$C66)&amp;REPT(" ",14),14)&amp;TEXT(ttValueDate,"ddmmyyyy")&amp;TEXT(INDEX(Entries!$E$5:$E$104,$C66)*IF(ttAmountUnit="Paise",1,100),REPT("0",23))&amp;INDEX(Entries!$D$5:$D$104,$C66)&amp;"0"&amp;TEXT(ttValueDate,"ddmmyyyy")&amp;REPT(" ",26)&amp;LEFT(SUBSTITUTE(SUBSTITUTE(SUBSTITUTE(SUBSTITUTE(SUBSTITUTE(SUBSTITUTE(INDEX(Entries!$F$5:$F$104,$C66)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6" s="29">
        <f>IF($A66="","",LEN($A66))</f>
        <v/>
      </c>
      <c r="C66" s="30">
        <f>IFERROR(MATCH(58,Entries!$H$5:$H$104,0),"")</f>
        <v/>
      </c>
    </row>
    <row r="67">
      <c r="A67" s="28">
        <f>IF($C67="","",LEFT(INDEX(Entries!$C$5:$C$104,$C67)&amp;REPT(" ",14),14)&amp;TEXT(ttValueDate,"ddmmyyyy")&amp;TEXT(INDEX(Entries!$E$5:$E$104,$C67)*IF(ttAmountUnit="Paise",1,100),REPT("0",23))&amp;INDEX(Entries!$D$5:$D$104,$C67)&amp;"0"&amp;TEXT(ttValueDate,"ddmmyyyy")&amp;REPT(" ",26)&amp;LEFT(SUBSTITUTE(SUBSTITUTE(SUBSTITUTE(SUBSTITUTE(SUBSTITUTE(SUBSTITUTE(INDEX(Entries!$F$5:$F$104,$C67)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7" s="29">
        <f>IF($A67="","",LEN($A67))</f>
        <v/>
      </c>
      <c r="C67" s="30">
        <f>IFERROR(MATCH(59,Entries!$H$5:$H$104,0),"")</f>
        <v/>
      </c>
    </row>
    <row r="68">
      <c r="A68" s="28">
        <f>IF($C68="","",LEFT(INDEX(Entries!$C$5:$C$104,$C68)&amp;REPT(" ",14),14)&amp;TEXT(ttValueDate,"ddmmyyyy")&amp;TEXT(INDEX(Entries!$E$5:$E$104,$C68)*IF(ttAmountUnit="Paise",1,100),REPT("0",23))&amp;INDEX(Entries!$D$5:$D$104,$C68)&amp;"0"&amp;TEXT(ttValueDate,"ddmmyyyy")&amp;REPT(" ",26)&amp;LEFT(SUBSTITUTE(SUBSTITUTE(SUBSTITUTE(SUBSTITUTE(SUBSTITUTE(SUBSTITUTE(INDEX(Entries!$F$5:$F$104,$C68)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8" s="29">
        <f>IF($A68="","",LEN($A68))</f>
        <v/>
      </c>
      <c r="C68" s="30">
        <f>IFERROR(MATCH(60,Entries!$H$5:$H$104,0),"")</f>
        <v/>
      </c>
    </row>
    <row r="69">
      <c r="A69" s="28">
        <f>IF($C69="","",LEFT(INDEX(Entries!$C$5:$C$104,$C69)&amp;REPT(" ",14),14)&amp;TEXT(ttValueDate,"ddmmyyyy")&amp;TEXT(INDEX(Entries!$E$5:$E$104,$C69)*IF(ttAmountUnit="Paise",1,100),REPT("0",23))&amp;INDEX(Entries!$D$5:$D$104,$C69)&amp;"0"&amp;TEXT(ttValueDate,"ddmmyyyy")&amp;REPT(" ",26)&amp;LEFT(SUBSTITUTE(SUBSTITUTE(SUBSTITUTE(SUBSTITUTE(SUBSTITUTE(SUBSTITUTE(INDEX(Entries!$F$5:$F$104,$C69)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69" s="29">
        <f>IF($A69="","",LEN($A69))</f>
        <v/>
      </c>
      <c r="C69" s="30">
        <f>IFERROR(MATCH(61,Entries!$H$5:$H$104,0),"")</f>
        <v/>
      </c>
    </row>
    <row r="70">
      <c r="A70" s="28">
        <f>IF($C70="","",LEFT(INDEX(Entries!$C$5:$C$104,$C70)&amp;REPT(" ",14),14)&amp;TEXT(ttValueDate,"ddmmyyyy")&amp;TEXT(INDEX(Entries!$E$5:$E$104,$C70)*IF(ttAmountUnit="Paise",1,100),REPT("0",23))&amp;INDEX(Entries!$D$5:$D$104,$C70)&amp;"0"&amp;TEXT(ttValueDate,"ddmmyyyy")&amp;REPT(" ",26)&amp;LEFT(SUBSTITUTE(SUBSTITUTE(SUBSTITUTE(SUBSTITUTE(SUBSTITUTE(SUBSTITUTE(INDEX(Entries!$F$5:$F$104,$C70)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0" s="29">
        <f>IF($A70="","",LEN($A70))</f>
        <v/>
      </c>
      <c r="C70" s="30">
        <f>IFERROR(MATCH(62,Entries!$H$5:$H$104,0),"")</f>
        <v/>
      </c>
    </row>
    <row r="71">
      <c r="A71" s="28">
        <f>IF($C71="","",LEFT(INDEX(Entries!$C$5:$C$104,$C71)&amp;REPT(" ",14),14)&amp;TEXT(ttValueDate,"ddmmyyyy")&amp;TEXT(INDEX(Entries!$E$5:$E$104,$C71)*IF(ttAmountUnit="Paise",1,100),REPT("0",23))&amp;INDEX(Entries!$D$5:$D$104,$C71)&amp;"0"&amp;TEXT(ttValueDate,"ddmmyyyy")&amp;REPT(" ",26)&amp;LEFT(SUBSTITUTE(SUBSTITUTE(SUBSTITUTE(SUBSTITUTE(SUBSTITUTE(SUBSTITUTE(INDEX(Entries!$F$5:$F$104,$C71)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1" s="29">
        <f>IF($A71="","",LEN($A71))</f>
        <v/>
      </c>
      <c r="C71" s="30">
        <f>IFERROR(MATCH(63,Entries!$H$5:$H$104,0),"")</f>
        <v/>
      </c>
    </row>
    <row r="72">
      <c r="A72" s="28">
        <f>IF($C72="","",LEFT(INDEX(Entries!$C$5:$C$104,$C72)&amp;REPT(" ",14),14)&amp;TEXT(ttValueDate,"ddmmyyyy")&amp;TEXT(INDEX(Entries!$E$5:$E$104,$C72)*IF(ttAmountUnit="Paise",1,100),REPT("0",23))&amp;INDEX(Entries!$D$5:$D$104,$C72)&amp;"0"&amp;TEXT(ttValueDate,"ddmmyyyy")&amp;REPT(" ",26)&amp;LEFT(SUBSTITUTE(SUBSTITUTE(SUBSTITUTE(SUBSTITUTE(SUBSTITUTE(SUBSTITUTE(INDEX(Entries!$F$5:$F$104,$C72)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2" s="29">
        <f>IF($A72="","",LEN($A72))</f>
        <v/>
      </c>
      <c r="C72" s="30">
        <f>IFERROR(MATCH(64,Entries!$H$5:$H$104,0),"")</f>
        <v/>
      </c>
    </row>
    <row r="73">
      <c r="A73" s="28">
        <f>IF($C73="","",LEFT(INDEX(Entries!$C$5:$C$104,$C73)&amp;REPT(" ",14),14)&amp;TEXT(ttValueDate,"ddmmyyyy")&amp;TEXT(INDEX(Entries!$E$5:$E$104,$C73)*IF(ttAmountUnit="Paise",1,100),REPT("0",23))&amp;INDEX(Entries!$D$5:$D$104,$C73)&amp;"0"&amp;TEXT(ttValueDate,"ddmmyyyy")&amp;REPT(" ",26)&amp;LEFT(SUBSTITUTE(SUBSTITUTE(SUBSTITUTE(SUBSTITUTE(SUBSTITUTE(SUBSTITUTE(INDEX(Entries!$F$5:$F$104,$C73)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3" s="29">
        <f>IF($A73="","",LEN($A73))</f>
        <v/>
      </c>
      <c r="C73" s="30">
        <f>IFERROR(MATCH(65,Entries!$H$5:$H$104,0),"")</f>
        <v/>
      </c>
    </row>
    <row r="74">
      <c r="A74" s="28">
        <f>IF($C74="","",LEFT(INDEX(Entries!$C$5:$C$104,$C74)&amp;REPT(" ",14),14)&amp;TEXT(ttValueDate,"ddmmyyyy")&amp;TEXT(INDEX(Entries!$E$5:$E$104,$C74)*IF(ttAmountUnit="Paise",1,100),REPT("0",23))&amp;INDEX(Entries!$D$5:$D$104,$C74)&amp;"0"&amp;TEXT(ttValueDate,"ddmmyyyy")&amp;REPT(" ",26)&amp;LEFT(SUBSTITUTE(SUBSTITUTE(SUBSTITUTE(SUBSTITUTE(SUBSTITUTE(SUBSTITUTE(INDEX(Entries!$F$5:$F$104,$C74)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4" s="29">
        <f>IF($A74="","",LEN($A74))</f>
        <v/>
      </c>
      <c r="C74" s="30">
        <f>IFERROR(MATCH(66,Entries!$H$5:$H$104,0),"")</f>
        <v/>
      </c>
    </row>
    <row r="75">
      <c r="A75" s="28">
        <f>IF($C75="","",LEFT(INDEX(Entries!$C$5:$C$104,$C75)&amp;REPT(" ",14),14)&amp;TEXT(ttValueDate,"ddmmyyyy")&amp;TEXT(INDEX(Entries!$E$5:$E$104,$C75)*IF(ttAmountUnit="Paise",1,100),REPT("0",23))&amp;INDEX(Entries!$D$5:$D$104,$C75)&amp;"0"&amp;TEXT(ttValueDate,"ddmmyyyy")&amp;REPT(" ",26)&amp;LEFT(SUBSTITUTE(SUBSTITUTE(SUBSTITUTE(SUBSTITUTE(SUBSTITUTE(SUBSTITUTE(INDEX(Entries!$F$5:$F$104,$C75)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5" s="29">
        <f>IF($A75="","",LEN($A75))</f>
        <v/>
      </c>
      <c r="C75" s="30">
        <f>IFERROR(MATCH(67,Entries!$H$5:$H$104,0),"")</f>
        <v/>
      </c>
    </row>
    <row r="76">
      <c r="A76" s="28">
        <f>IF($C76="","",LEFT(INDEX(Entries!$C$5:$C$104,$C76)&amp;REPT(" ",14),14)&amp;TEXT(ttValueDate,"ddmmyyyy")&amp;TEXT(INDEX(Entries!$E$5:$E$104,$C76)*IF(ttAmountUnit="Paise",1,100),REPT("0",23))&amp;INDEX(Entries!$D$5:$D$104,$C76)&amp;"0"&amp;TEXT(ttValueDate,"ddmmyyyy")&amp;REPT(" ",26)&amp;LEFT(SUBSTITUTE(SUBSTITUTE(SUBSTITUTE(SUBSTITUTE(SUBSTITUTE(SUBSTITUTE(INDEX(Entries!$F$5:$F$104,$C76)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6" s="29">
        <f>IF($A76="","",LEN($A76))</f>
        <v/>
      </c>
      <c r="C76" s="30">
        <f>IFERROR(MATCH(68,Entries!$H$5:$H$104,0),"")</f>
        <v/>
      </c>
    </row>
    <row r="77">
      <c r="A77" s="28">
        <f>IF($C77="","",LEFT(INDEX(Entries!$C$5:$C$104,$C77)&amp;REPT(" ",14),14)&amp;TEXT(ttValueDate,"ddmmyyyy")&amp;TEXT(INDEX(Entries!$E$5:$E$104,$C77)*IF(ttAmountUnit="Paise",1,100),REPT("0",23))&amp;INDEX(Entries!$D$5:$D$104,$C77)&amp;"0"&amp;TEXT(ttValueDate,"ddmmyyyy")&amp;REPT(" ",26)&amp;LEFT(SUBSTITUTE(SUBSTITUTE(SUBSTITUTE(SUBSTITUTE(SUBSTITUTE(SUBSTITUTE(INDEX(Entries!$F$5:$F$104,$C77)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7" s="29">
        <f>IF($A77="","",LEN($A77))</f>
        <v/>
      </c>
      <c r="C77" s="30">
        <f>IFERROR(MATCH(69,Entries!$H$5:$H$104,0),"")</f>
        <v/>
      </c>
    </row>
    <row r="78">
      <c r="A78" s="28">
        <f>IF($C78="","",LEFT(INDEX(Entries!$C$5:$C$104,$C78)&amp;REPT(" ",14),14)&amp;TEXT(ttValueDate,"ddmmyyyy")&amp;TEXT(INDEX(Entries!$E$5:$E$104,$C78)*IF(ttAmountUnit="Paise",1,100),REPT("0",23))&amp;INDEX(Entries!$D$5:$D$104,$C78)&amp;"0"&amp;TEXT(ttValueDate,"ddmmyyyy")&amp;REPT(" ",26)&amp;LEFT(SUBSTITUTE(SUBSTITUTE(SUBSTITUTE(SUBSTITUTE(SUBSTITUTE(SUBSTITUTE(INDEX(Entries!$F$5:$F$104,$C78)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8" s="29">
        <f>IF($A78="","",LEN($A78))</f>
        <v/>
      </c>
      <c r="C78" s="30">
        <f>IFERROR(MATCH(70,Entries!$H$5:$H$104,0),"")</f>
        <v/>
      </c>
    </row>
    <row r="79">
      <c r="A79" s="28">
        <f>IF($C79="","",LEFT(INDEX(Entries!$C$5:$C$104,$C79)&amp;REPT(" ",14),14)&amp;TEXT(ttValueDate,"ddmmyyyy")&amp;TEXT(INDEX(Entries!$E$5:$E$104,$C79)*IF(ttAmountUnit="Paise",1,100),REPT("0",23))&amp;INDEX(Entries!$D$5:$D$104,$C79)&amp;"0"&amp;TEXT(ttValueDate,"ddmmyyyy")&amp;REPT(" ",26)&amp;LEFT(SUBSTITUTE(SUBSTITUTE(SUBSTITUTE(SUBSTITUTE(SUBSTITUTE(SUBSTITUTE(INDEX(Entries!$F$5:$F$104,$C79)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79" s="29">
        <f>IF($A79="","",LEN($A79))</f>
        <v/>
      </c>
      <c r="C79" s="30">
        <f>IFERROR(MATCH(71,Entries!$H$5:$H$104,0),"")</f>
        <v/>
      </c>
    </row>
    <row r="80">
      <c r="A80" s="28">
        <f>IF($C80="","",LEFT(INDEX(Entries!$C$5:$C$104,$C80)&amp;REPT(" ",14),14)&amp;TEXT(ttValueDate,"ddmmyyyy")&amp;TEXT(INDEX(Entries!$E$5:$E$104,$C80)*IF(ttAmountUnit="Paise",1,100),REPT("0",23))&amp;INDEX(Entries!$D$5:$D$104,$C80)&amp;"0"&amp;TEXT(ttValueDate,"ddmmyyyy")&amp;REPT(" ",26)&amp;LEFT(SUBSTITUTE(SUBSTITUTE(SUBSTITUTE(SUBSTITUTE(SUBSTITUTE(SUBSTITUTE(INDEX(Entries!$F$5:$F$104,$C80)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0" s="29">
        <f>IF($A80="","",LEN($A80))</f>
        <v/>
      </c>
      <c r="C80" s="30">
        <f>IFERROR(MATCH(72,Entries!$H$5:$H$104,0),"")</f>
        <v/>
      </c>
    </row>
    <row r="81">
      <c r="A81" s="28">
        <f>IF($C81="","",LEFT(INDEX(Entries!$C$5:$C$104,$C81)&amp;REPT(" ",14),14)&amp;TEXT(ttValueDate,"ddmmyyyy")&amp;TEXT(INDEX(Entries!$E$5:$E$104,$C81)*IF(ttAmountUnit="Paise",1,100),REPT("0",23))&amp;INDEX(Entries!$D$5:$D$104,$C81)&amp;"0"&amp;TEXT(ttValueDate,"ddmmyyyy")&amp;REPT(" ",26)&amp;LEFT(SUBSTITUTE(SUBSTITUTE(SUBSTITUTE(SUBSTITUTE(SUBSTITUTE(SUBSTITUTE(INDEX(Entries!$F$5:$F$104,$C81)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1" s="29">
        <f>IF($A81="","",LEN($A81))</f>
        <v/>
      </c>
      <c r="C81" s="30">
        <f>IFERROR(MATCH(73,Entries!$H$5:$H$104,0),"")</f>
        <v/>
      </c>
    </row>
    <row r="82">
      <c r="A82" s="28">
        <f>IF($C82="","",LEFT(INDEX(Entries!$C$5:$C$104,$C82)&amp;REPT(" ",14),14)&amp;TEXT(ttValueDate,"ddmmyyyy")&amp;TEXT(INDEX(Entries!$E$5:$E$104,$C82)*IF(ttAmountUnit="Paise",1,100),REPT("0",23))&amp;INDEX(Entries!$D$5:$D$104,$C82)&amp;"0"&amp;TEXT(ttValueDate,"ddmmyyyy")&amp;REPT(" ",26)&amp;LEFT(SUBSTITUTE(SUBSTITUTE(SUBSTITUTE(SUBSTITUTE(SUBSTITUTE(SUBSTITUTE(INDEX(Entries!$F$5:$F$104,$C82)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2" s="29">
        <f>IF($A82="","",LEN($A82))</f>
        <v/>
      </c>
      <c r="C82" s="30">
        <f>IFERROR(MATCH(74,Entries!$H$5:$H$104,0),"")</f>
        <v/>
      </c>
    </row>
    <row r="83">
      <c r="A83" s="28">
        <f>IF($C83="","",LEFT(INDEX(Entries!$C$5:$C$104,$C83)&amp;REPT(" ",14),14)&amp;TEXT(ttValueDate,"ddmmyyyy")&amp;TEXT(INDEX(Entries!$E$5:$E$104,$C83)*IF(ttAmountUnit="Paise",1,100),REPT("0",23))&amp;INDEX(Entries!$D$5:$D$104,$C83)&amp;"0"&amp;TEXT(ttValueDate,"ddmmyyyy")&amp;REPT(" ",26)&amp;LEFT(SUBSTITUTE(SUBSTITUTE(SUBSTITUTE(SUBSTITUTE(SUBSTITUTE(SUBSTITUTE(INDEX(Entries!$F$5:$F$104,$C83)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3" s="29">
        <f>IF($A83="","",LEN($A83))</f>
        <v/>
      </c>
      <c r="C83" s="30">
        <f>IFERROR(MATCH(75,Entries!$H$5:$H$104,0),"")</f>
        <v/>
      </c>
    </row>
    <row r="84">
      <c r="A84" s="28">
        <f>IF($C84="","",LEFT(INDEX(Entries!$C$5:$C$104,$C84)&amp;REPT(" ",14),14)&amp;TEXT(ttValueDate,"ddmmyyyy")&amp;TEXT(INDEX(Entries!$E$5:$E$104,$C84)*IF(ttAmountUnit="Paise",1,100),REPT("0",23))&amp;INDEX(Entries!$D$5:$D$104,$C84)&amp;"0"&amp;TEXT(ttValueDate,"ddmmyyyy")&amp;REPT(" ",26)&amp;LEFT(SUBSTITUTE(SUBSTITUTE(SUBSTITUTE(SUBSTITUTE(SUBSTITUTE(SUBSTITUTE(INDEX(Entries!$F$5:$F$104,$C84)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4" s="29">
        <f>IF($A84="","",LEN($A84))</f>
        <v/>
      </c>
      <c r="C84" s="30">
        <f>IFERROR(MATCH(76,Entries!$H$5:$H$104,0),"")</f>
        <v/>
      </c>
    </row>
    <row r="85">
      <c r="A85" s="28">
        <f>IF($C85="","",LEFT(INDEX(Entries!$C$5:$C$104,$C85)&amp;REPT(" ",14),14)&amp;TEXT(ttValueDate,"ddmmyyyy")&amp;TEXT(INDEX(Entries!$E$5:$E$104,$C85)*IF(ttAmountUnit="Paise",1,100),REPT("0",23))&amp;INDEX(Entries!$D$5:$D$104,$C85)&amp;"0"&amp;TEXT(ttValueDate,"ddmmyyyy")&amp;REPT(" ",26)&amp;LEFT(SUBSTITUTE(SUBSTITUTE(SUBSTITUTE(SUBSTITUTE(SUBSTITUTE(SUBSTITUTE(INDEX(Entries!$F$5:$F$104,$C85)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5" s="29">
        <f>IF($A85="","",LEN($A85))</f>
        <v/>
      </c>
      <c r="C85" s="30">
        <f>IFERROR(MATCH(77,Entries!$H$5:$H$104,0),"")</f>
        <v/>
      </c>
    </row>
    <row r="86">
      <c r="A86" s="28">
        <f>IF($C86="","",LEFT(INDEX(Entries!$C$5:$C$104,$C86)&amp;REPT(" ",14),14)&amp;TEXT(ttValueDate,"ddmmyyyy")&amp;TEXT(INDEX(Entries!$E$5:$E$104,$C86)*IF(ttAmountUnit="Paise",1,100),REPT("0",23))&amp;INDEX(Entries!$D$5:$D$104,$C86)&amp;"0"&amp;TEXT(ttValueDate,"ddmmyyyy")&amp;REPT(" ",26)&amp;LEFT(SUBSTITUTE(SUBSTITUTE(SUBSTITUTE(SUBSTITUTE(SUBSTITUTE(SUBSTITUTE(INDEX(Entries!$F$5:$F$104,$C86)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6" s="29">
        <f>IF($A86="","",LEN($A86))</f>
        <v/>
      </c>
      <c r="C86" s="30">
        <f>IFERROR(MATCH(78,Entries!$H$5:$H$104,0),"")</f>
        <v/>
      </c>
    </row>
    <row r="87">
      <c r="A87" s="28">
        <f>IF($C87="","",LEFT(INDEX(Entries!$C$5:$C$104,$C87)&amp;REPT(" ",14),14)&amp;TEXT(ttValueDate,"ddmmyyyy")&amp;TEXT(INDEX(Entries!$E$5:$E$104,$C87)*IF(ttAmountUnit="Paise",1,100),REPT("0",23))&amp;INDEX(Entries!$D$5:$D$104,$C87)&amp;"0"&amp;TEXT(ttValueDate,"ddmmyyyy")&amp;REPT(" ",26)&amp;LEFT(SUBSTITUTE(SUBSTITUTE(SUBSTITUTE(SUBSTITUTE(SUBSTITUTE(SUBSTITUTE(INDEX(Entries!$F$5:$F$104,$C87)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7" s="29">
        <f>IF($A87="","",LEN($A87))</f>
        <v/>
      </c>
      <c r="C87" s="30">
        <f>IFERROR(MATCH(79,Entries!$H$5:$H$104,0),"")</f>
        <v/>
      </c>
    </row>
    <row r="88">
      <c r="A88" s="28">
        <f>IF($C88="","",LEFT(INDEX(Entries!$C$5:$C$104,$C88)&amp;REPT(" ",14),14)&amp;TEXT(ttValueDate,"ddmmyyyy")&amp;TEXT(INDEX(Entries!$E$5:$E$104,$C88)*IF(ttAmountUnit="Paise",1,100),REPT("0",23))&amp;INDEX(Entries!$D$5:$D$104,$C88)&amp;"0"&amp;TEXT(ttValueDate,"ddmmyyyy")&amp;REPT(" ",26)&amp;LEFT(SUBSTITUTE(SUBSTITUTE(SUBSTITUTE(SUBSTITUTE(SUBSTITUTE(SUBSTITUTE(INDEX(Entries!$F$5:$F$104,$C88)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8" s="29">
        <f>IF($A88="","",LEN($A88))</f>
        <v/>
      </c>
      <c r="C88" s="30">
        <f>IFERROR(MATCH(80,Entries!$H$5:$H$104,0),"")</f>
        <v/>
      </c>
    </row>
    <row r="89">
      <c r="A89" s="28">
        <f>IF($C89="","",LEFT(INDEX(Entries!$C$5:$C$104,$C89)&amp;REPT(" ",14),14)&amp;TEXT(ttValueDate,"ddmmyyyy")&amp;TEXT(INDEX(Entries!$E$5:$E$104,$C89)*IF(ttAmountUnit="Paise",1,100),REPT("0",23))&amp;INDEX(Entries!$D$5:$D$104,$C89)&amp;"0"&amp;TEXT(ttValueDate,"ddmmyyyy")&amp;REPT(" ",26)&amp;LEFT(SUBSTITUTE(SUBSTITUTE(SUBSTITUTE(SUBSTITUTE(SUBSTITUTE(SUBSTITUTE(INDEX(Entries!$F$5:$F$104,$C89)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89" s="29">
        <f>IF($A89="","",LEN($A89))</f>
        <v/>
      </c>
      <c r="C89" s="30">
        <f>IFERROR(MATCH(81,Entries!$H$5:$H$104,0),"")</f>
        <v/>
      </c>
    </row>
    <row r="90">
      <c r="A90" s="28">
        <f>IF($C90="","",LEFT(INDEX(Entries!$C$5:$C$104,$C90)&amp;REPT(" ",14),14)&amp;TEXT(ttValueDate,"ddmmyyyy")&amp;TEXT(INDEX(Entries!$E$5:$E$104,$C90)*IF(ttAmountUnit="Paise",1,100),REPT("0",23))&amp;INDEX(Entries!$D$5:$D$104,$C90)&amp;"0"&amp;TEXT(ttValueDate,"ddmmyyyy")&amp;REPT(" ",26)&amp;LEFT(SUBSTITUTE(SUBSTITUTE(SUBSTITUTE(SUBSTITUTE(SUBSTITUTE(SUBSTITUTE(INDEX(Entries!$F$5:$F$104,$C90)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0" s="29">
        <f>IF($A90="","",LEN($A90))</f>
        <v/>
      </c>
      <c r="C90" s="30">
        <f>IFERROR(MATCH(82,Entries!$H$5:$H$104,0),"")</f>
        <v/>
      </c>
    </row>
    <row r="91">
      <c r="A91" s="28">
        <f>IF($C91="","",LEFT(INDEX(Entries!$C$5:$C$104,$C91)&amp;REPT(" ",14),14)&amp;TEXT(ttValueDate,"ddmmyyyy")&amp;TEXT(INDEX(Entries!$E$5:$E$104,$C91)*IF(ttAmountUnit="Paise",1,100),REPT("0",23))&amp;INDEX(Entries!$D$5:$D$104,$C91)&amp;"0"&amp;TEXT(ttValueDate,"ddmmyyyy")&amp;REPT(" ",26)&amp;LEFT(SUBSTITUTE(SUBSTITUTE(SUBSTITUTE(SUBSTITUTE(SUBSTITUTE(SUBSTITUTE(INDEX(Entries!$F$5:$F$104,$C91)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1" s="29">
        <f>IF($A91="","",LEN($A91))</f>
        <v/>
      </c>
      <c r="C91" s="30">
        <f>IFERROR(MATCH(83,Entries!$H$5:$H$104,0),"")</f>
        <v/>
      </c>
    </row>
    <row r="92">
      <c r="A92" s="28">
        <f>IF($C92="","",LEFT(INDEX(Entries!$C$5:$C$104,$C92)&amp;REPT(" ",14),14)&amp;TEXT(ttValueDate,"ddmmyyyy")&amp;TEXT(INDEX(Entries!$E$5:$E$104,$C92)*IF(ttAmountUnit="Paise",1,100),REPT("0",23))&amp;INDEX(Entries!$D$5:$D$104,$C92)&amp;"0"&amp;TEXT(ttValueDate,"ddmmyyyy")&amp;REPT(" ",26)&amp;LEFT(SUBSTITUTE(SUBSTITUTE(SUBSTITUTE(SUBSTITUTE(SUBSTITUTE(SUBSTITUTE(INDEX(Entries!$F$5:$F$104,$C92)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2" s="29">
        <f>IF($A92="","",LEN($A92))</f>
        <v/>
      </c>
      <c r="C92" s="30">
        <f>IFERROR(MATCH(84,Entries!$H$5:$H$104,0),"")</f>
        <v/>
      </c>
    </row>
    <row r="93">
      <c r="A93" s="28">
        <f>IF($C93="","",LEFT(INDEX(Entries!$C$5:$C$104,$C93)&amp;REPT(" ",14),14)&amp;TEXT(ttValueDate,"ddmmyyyy")&amp;TEXT(INDEX(Entries!$E$5:$E$104,$C93)*IF(ttAmountUnit="Paise",1,100),REPT("0",23))&amp;INDEX(Entries!$D$5:$D$104,$C93)&amp;"0"&amp;TEXT(ttValueDate,"ddmmyyyy")&amp;REPT(" ",26)&amp;LEFT(SUBSTITUTE(SUBSTITUTE(SUBSTITUTE(SUBSTITUTE(SUBSTITUTE(SUBSTITUTE(INDEX(Entries!$F$5:$F$104,$C93)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3" s="29">
        <f>IF($A93="","",LEN($A93))</f>
        <v/>
      </c>
      <c r="C93" s="30">
        <f>IFERROR(MATCH(85,Entries!$H$5:$H$104,0),"")</f>
        <v/>
      </c>
    </row>
    <row r="94">
      <c r="A94" s="28">
        <f>IF($C94="","",LEFT(INDEX(Entries!$C$5:$C$104,$C94)&amp;REPT(" ",14),14)&amp;TEXT(ttValueDate,"ddmmyyyy")&amp;TEXT(INDEX(Entries!$E$5:$E$104,$C94)*IF(ttAmountUnit="Paise",1,100),REPT("0",23))&amp;INDEX(Entries!$D$5:$D$104,$C94)&amp;"0"&amp;TEXT(ttValueDate,"ddmmyyyy")&amp;REPT(" ",26)&amp;LEFT(SUBSTITUTE(SUBSTITUTE(SUBSTITUTE(SUBSTITUTE(SUBSTITUTE(SUBSTITUTE(INDEX(Entries!$F$5:$F$104,$C94)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4" s="29">
        <f>IF($A94="","",LEN($A94))</f>
        <v/>
      </c>
      <c r="C94" s="30">
        <f>IFERROR(MATCH(86,Entries!$H$5:$H$104,0),"")</f>
        <v/>
      </c>
    </row>
    <row r="95">
      <c r="A95" s="28">
        <f>IF($C95="","",LEFT(INDEX(Entries!$C$5:$C$104,$C95)&amp;REPT(" ",14),14)&amp;TEXT(ttValueDate,"ddmmyyyy")&amp;TEXT(INDEX(Entries!$E$5:$E$104,$C95)*IF(ttAmountUnit="Paise",1,100),REPT("0",23))&amp;INDEX(Entries!$D$5:$D$104,$C95)&amp;"0"&amp;TEXT(ttValueDate,"ddmmyyyy")&amp;REPT(" ",26)&amp;LEFT(SUBSTITUTE(SUBSTITUTE(SUBSTITUTE(SUBSTITUTE(SUBSTITUTE(SUBSTITUTE(INDEX(Entries!$F$5:$F$104,$C95)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5" s="29">
        <f>IF($A95="","",LEN($A95))</f>
        <v/>
      </c>
      <c r="C95" s="30">
        <f>IFERROR(MATCH(87,Entries!$H$5:$H$104,0),"")</f>
        <v/>
      </c>
    </row>
    <row r="96">
      <c r="A96" s="28">
        <f>IF($C96="","",LEFT(INDEX(Entries!$C$5:$C$104,$C96)&amp;REPT(" ",14),14)&amp;TEXT(ttValueDate,"ddmmyyyy")&amp;TEXT(INDEX(Entries!$E$5:$E$104,$C96)*IF(ttAmountUnit="Paise",1,100),REPT("0",23))&amp;INDEX(Entries!$D$5:$D$104,$C96)&amp;"0"&amp;TEXT(ttValueDate,"ddmmyyyy")&amp;REPT(" ",26)&amp;LEFT(SUBSTITUTE(SUBSTITUTE(SUBSTITUTE(SUBSTITUTE(SUBSTITUTE(SUBSTITUTE(INDEX(Entries!$F$5:$F$104,$C96)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6" s="29">
        <f>IF($A96="","",LEN($A96))</f>
        <v/>
      </c>
      <c r="C96" s="30">
        <f>IFERROR(MATCH(88,Entries!$H$5:$H$104,0),"")</f>
        <v/>
      </c>
    </row>
    <row r="97">
      <c r="A97" s="28">
        <f>IF($C97="","",LEFT(INDEX(Entries!$C$5:$C$104,$C97)&amp;REPT(" ",14),14)&amp;TEXT(ttValueDate,"ddmmyyyy")&amp;TEXT(INDEX(Entries!$E$5:$E$104,$C97)*IF(ttAmountUnit="Paise",1,100),REPT("0",23))&amp;INDEX(Entries!$D$5:$D$104,$C97)&amp;"0"&amp;TEXT(ttValueDate,"ddmmyyyy")&amp;REPT(" ",26)&amp;LEFT(SUBSTITUTE(SUBSTITUTE(SUBSTITUTE(SUBSTITUTE(SUBSTITUTE(SUBSTITUTE(INDEX(Entries!$F$5:$F$104,$C97)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7" s="29">
        <f>IF($A97="","",LEN($A97))</f>
        <v/>
      </c>
      <c r="C97" s="30">
        <f>IFERROR(MATCH(89,Entries!$H$5:$H$104,0),"")</f>
        <v/>
      </c>
    </row>
    <row r="98">
      <c r="A98" s="28">
        <f>IF($C98="","",LEFT(INDEX(Entries!$C$5:$C$104,$C98)&amp;REPT(" ",14),14)&amp;TEXT(ttValueDate,"ddmmyyyy")&amp;TEXT(INDEX(Entries!$E$5:$E$104,$C98)*IF(ttAmountUnit="Paise",1,100),REPT("0",23))&amp;INDEX(Entries!$D$5:$D$104,$C98)&amp;"0"&amp;TEXT(ttValueDate,"ddmmyyyy")&amp;REPT(" ",26)&amp;LEFT(SUBSTITUTE(SUBSTITUTE(SUBSTITUTE(SUBSTITUTE(SUBSTITUTE(SUBSTITUTE(INDEX(Entries!$F$5:$F$104,$C98)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8" s="29">
        <f>IF($A98="","",LEN($A98))</f>
        <v/>
      </c>
      <c r="C98" s="30">
        <f>IFERROR(MATCH(90,Entries!$H$5:$H$104,0),"")</f>
        <v/>
      </c>
    </row>
    <row r="99">
      <c r="A99" s="28">
        <f>IF($C99="","",LEFT(INDEX(Entries!$C$5:$C$104,$C99)&amp;REPT(" ",14),14)&amp;TEXT(ttValueDate,"ddmmyyyy")&amp;TEXT(INDEX(Entries!$E$5:$E$104,$C99)*IF(ttAmountUnit="Paise",1,100),REPT("0",23))&amp;INDEX(Entries!$D$5:$D$104,$C99)&amp;"0"&amp;TEXT(ttValueDate,"ddmmyyyy")&amp;REPT(" ",26)&amp;LEFT(SUBSTITUTE(SUBSTITUTE(SUBSTITUTE(SUBSTITUTE(SUBSTITUTE(SUBSTITUTE(INDEX(Entries!$F$5:$F$104,$C99)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99" s="29">
        <f>IF($A99="","",LEN($A99))</f>
        <v/>
      </c>
      <c r="C99" s="30">
        <f>IFERROR(MATCH(91,Entries!$H$5:$H$104,0),"")</f>
        <v/>
      </c>
    </row>
    <row r="100">
      <c r="A100" s="28">
        <f>IF($C100="","",LEFT(INDEX(Entries!$C$5:$C$104,$C100)&amp;REPT(" ",14),14)&amp;TEXT(ttValueDate,"ddmmyyyy")&amp;TEXT(INDEX(Entries!$E$5:$E$104,$C100)*IF(ttAmountUnit="Paise",1,100),REPT("0",23))&amp;INDEX(Entries!$D$5:$D$104,$C100)&amp;"0"&amp;TEXT(ttValueDate,"ddmmyyyy")&amp;REPT(" ",26)&amp;LEFT(SUBSTITUTE(SUBSTITUTE(SUBSTITUTE(SUBSTITUTE(SUBSTITUTE(SUBSTITUTE(INDEX(Entries!$F$5:$F$104,$C100)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0" s="29">
        <f>IF($A100="","",LEN($A100))</f>
        <v/>
      </c>
      <c r="C100" s="30">
        <f>IFERROR(MATCH(92,Entries!$H$5:$H$104,0),"")</f>
        <v/>
      </c>
    </row>
    <row r="101">
      <c r="A101" s="28">
        <f>IF($C101="","",LEFT(INDEX(Entries!$C$5:$C$104,$C101)&amp;REPT(" ",14),14)&amp;TEXT(ttValueDate,"ddmmyyyy")&amp;TEXT(INDEX(Entries!$E$5:$E$104,$C101)*IF(ttAmountUnit="Paise",1,100),REPT("0",23))&amp;INDEX(Entries!$D$5:$D$104,$C101)&amp;"0"&amp;TEXT(ttValueDate,"ddmmyyyy")&amp;REPT(" ",26)&amp;LEFT(SUBSTITUTE(SUBSTITUTE(SUBSTITUTE(SUBSTITUTE(SUBSTITUTE(SUBSTITUTE(INDEX(Entries!$F$5:$F$104,$C101)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1" s="29">
        <f>IF($A101="","",LEN($A101))</f>
        <v/>
      </c>
      <c r="C101" s="30">
        <f>IFERROR(MATCH(93,Entries!$H$5:$H$104,0),"")</f>
        <v/>
      </c>
    </row>
    <row r="102">
      <c r="A102" s="28">
        <f>IF($C102="","",LEFT(INDEX(Entries!$C$5:$C$104,$C102)&amp;REPT(" ",14),14)&amp;TEXT(ttValueDate,"ddmmyyyy")&amp;TEXT(INDEX(Entries!$E$5:$E$104,$C102)*IF(ttAmountUnit="Paise",1,100),REPT("0",23))&amp;INDEX(Entries!$D$5:$D$104,$C102)&amp;"0"&amp;TEXT(ttValueDate,"ddmmyyyy")&amp;REPT(" ",26)&amp;LEFT(SUBSTITUTE(SUBSTITUTE(SUBSTITUTE(SUBSTITUTE(SUBSTITUTE(SUBSTITUTE(INDEX(Entries!$F$5:$F$104,$C102)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2" s="29">
        <f>IF($A102="","",LEN($A102))</f>
        <v/>
      </c>
      <c r="C102" s="30">
        <f>IFERROR(MATCH(94,Entries!$H$5:$H$104,0),"")</f>
        <v/>
      </c>
    </row>
    <row r="103">
      <c r="A103" s="28">
        <f>IF($C103="","",LEFT(INDEX(Entries!$C$5:$C$104,$C103)&amp;REPT(" ",14),14)&amp;TEXT(ttValueDate,"ddmmyyyy")&amp;TEXT(INDEX(Entries!$E$5:$E$104,$C103)*IF(ttAmountUnit="Paise",1,100),REPT("0",23))&amp;INDEX(Entries!$D$5:$D$104,$C103)&amp;"0"&amp;TEXT(ttValueDate,"ddmmyyyy")&amp;REPT(" ",26)&amp;LEFT(SUBSTITUTE(SUBSTITUTE(SUBSTITUTE(SUBSTITUTE(SUBSTITUTE(SUBSTITUTE(INDEX(Entries!$F$5:$F$104,$C103)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3" s="29">
        <f>IF($A103="","",LEN($A103))</f>
        <v/>
      </c>
      <c r="C103" s="30">
        <f>IFERROR(MATCH(95,Entries!$H$5:$H$104,0),"")</f>
        <v/>
      </c>
    </row>
    <row r="104">
      <c r="A104" s="28">
        <f>IF($C104="","",LEFT(INDEX(Entries!$C$5:$C$104,$C104)&amp;REPT(" ",14),14)&amp;TEXT(ttValueDate,"ddmmyyyy")&amp;TEXT(INDEX(Entries!$E$5:$E$104,$C104)*IF(ttAmountUnit="Paise",1,100),REPT("0",23))&amp;INDEX(Entries!$D$5:$D$104,$C104)&amp;"0"&amp;TEXT(ttValueDate,"ddmmyyyy")&amp;REPT(" ",26)&amp;LEFT(SUBSTITUTE(SUBSTITUTE(SUBSTITUTE(SUBSTITUTE(SUBSTITUTE(SUBSTITUTE(INDEX(Entries!$F$5:$F$104,$C104)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4" s="29">
        <f>IF($A104="","",LEN($A104))</f>
        <v/>
      </c>
      <c r="C104" s="30">
        <f>IFERROR(MATCH(96,Entries!$H$5:$H$104,0),"")</f>
        <v/>
      </c>
    </row>
    <row r="105">
      <c r="A105" s="28">
        <f>IF($C105="","",LEFT(INDEX(Entries!$C$5:$C$104,$C105)&amp;REPT(" ",14),14)&amp;TEXT(ttValueDate,"ddmmyyyy")&amp;TEXT(INDEX(Entries!$E$5:$E$104,$C105)*IF(ttAmountUnit="Paise",1,100),REPT("0",23))&amp;INDEX(Entries!$D$5:$D$104,$C105)&amp;"0"&amp;TEXT(ttValueDate,"ddmmyyyy")&amp;REPT(" ",26)&amp;LEFT(SUBSTITUTE(SUBSTITUTE(SUBSTITUTE(SUBSTITUTE(SUBSTITUTE(SUBSTITUTE(INDEX(Entries!$F$5:$F$104,$C105)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5" s="29">
        <f>IF($A105="","",LEN($A105))</f>
        <v/>
      </c>
      <c r="C105" s="30">
        <f>IFERROR(MATCH(97,Entries!$H$5:$H$104,0),"")</f>
        <v/>
      </c>
    </row>
    <row r="106">
      <c r="A106" s="28">
        <f>IF($C106="","",LEFT(INDEX(Entries!$C$5:$C$104,$C106)&amp;REPT(" ",14),14)&amp;TEXT(ttValueDate,"ddmmyyyy")&amp;TEXT(INDEX(Entries!$E$5:$E$104,$C106)*IF(ttAmountUnit="Paise",1,100),REPT("0",23))&amp;INDEX(Entries!$D$5:$D$104,$C106)&amp;"0"&amp;TEXT(ttValueDate,"ddmmyyyy")&amp;REPT(" ",26)&amp;LEFT(SUBSTITUTE(SUBSTITUTE(SUBSTITUTE(SUBSTITUTE(SUBSTITUTE(SUBSTITUTE(INDEX(Entries!$F$5:$F$104,$C106)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6" s="29">
        <f>IF($A106="","",LEN($A106))</f>
        <v/>
      </c>
      <c r="C106" s="30">
        <f>IFERROR(MATCH(98,Entries!$H$5:$H$104,0),"")</f>
        <v/>
      </c>
    </row>
    <row r="107">
      <c r="A107" s="28">
        <f>IF($C107="","",LEFT(INDEX(Entries!$C$5:$C$104,$C107)&amp;REPT(" ",14),14)&amp;TEXT(ttValueDate,"ddmmyyyy")&amp;TEXT(INDEX(Entries!$E$5:$E$104,$C107)*IF(ttAmountUnit="Paise",1,100),REPT("0",23))&amp;INDEX(Entries!$D$5:$D$104,$C107)&amp;"0"&amp;TEXT(ttValueDate,"ddmmyyyy")&amp;REPT(" ",26)&amp;LEFT(SUBSTITUTE(SUBSTITUTE(SUBSTITUTE(SUBSTITUTE(SUBSTITUTE(SUBSTITUTE(INDEX(Entries!$F$5:$F$104,$C107)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7" s="29">
        <f>IF($A107="","",LEN($A107))</f>
        <v/>
      </c>
      <c r="C107" s="30">
        <f>IFERROR(MATCH(99,Entries!$H$5:$H$104,0),"")</f>
        <v/>
      </c>
    </row>
    <row r="108">
      <c r="A108" s="28">
        <f>IF($C108="","",LEFT(INDEX(Entries!$C$5:$C$104,$C108)&amp;REPT(" ",14),14)&amp;TEXT(ttValueDate,"ddmmyyyy")&amp;TEXT(INDEX(Entries!$E$5:$E$104,$C108)*IF(ttAmountUnit="Paise",1,100),REPT("0",23))&amp;INDEX(Entries!$D$5:$D$104,$C108)&amp;"0"&amp;TEXT(ttValueDate,"ddmmyyyy")&amp;REPT(" ",26)&amp;LEFT(SUBSTITUTE(SUBSTITUTE(SUBSTITUTE(SUBSTITUTE(SUBSTITUTE(SUBSTITUTE(INDEX(Entries!$F$5:$F$104,$C108),"{DDMMYYYY}",TEXT(ttValueDate,"ddmmyyyy")),"{DDMMYY}",TEXT(ttValueDate,"ddmmyy")),"{YYYY}",TEXT(ttValueDate,"yyyy")),"{DD}",TEXT(ttValueDate,"dd")),"{MM}",TEXT(ttValueDate,"mm")),"{YY}",TEXT(ttValueDate,"yy"))&amp;REPT(" ",35),35)&amp;REPT(" ",70))</f>
        <v/>
      </c>
      <c r="B108" s="29">
        <f>IF($A108="","",LEN($A108))</f>
        <v/>
      </c>
      <c r="C108" s="30">
        <f>IFERROR(MATCH(100,Entries!$H$5:$H$104,0),"")</f>
        <v/>
      </c>
    </row>
  </sheetData>
  <mergeCells count="2">
    <mergeCell ref="A1:C1"/>
    <mergeCell ref="A2:C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Config">
    <outlinePr summaryBelow="1" summaryRight="1"/>
    <pageSetUpPr/>
  </sheetPr>
  <dimension ref="A1:D9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6" customWidth="1" min="2" max="2"/>
    <col width="32" customWidth="1" min="3" max="3"/>
    <col width="62" customWidth="1" min="4" max="4"/>
  </cols>
  <sheetData>
    <row r="1" ht="30" customHeight="1">
      <c r="A1" s="1" t="inlineStr">
        <is>
          <t xml:space="preserve">   CONFIG</t>
        </is>
      </c>
      <c r="B1" s="2" t="n"/>
      <c r="C1" s="2" t="n"/>
      <c r="D1" s="2" t="n"/>
    </row>
    <row r="2" ht="16" customHeight="1">
      <c r="A2" s="3" t="inlineStr">
        <is>
          <t xml:space="preserve">   Settings that rarely change. The daily inputs live on the Dashboard.</t>
        </is>
      </c>
      <c r="B2" s="2" t="n"/>
      <c r="C2" s="2" t="n"/>
      <c r="D2" s="2" t="n"/>
    </row>
    <row r="4">
      <c r="B4" s="27" t="inlineStr">
        <is>
          <t>Setting</t>
        </is>
      </c>
      <c r="C4" s="27" t="inlineStr">
        <is>
          <t>Value</t>
        </is>
      </c>
      <c r="D4" s="27" t="inlineStr">
        <is>
          <t>What it does</t>
        </is>
      </c>
    </row>
    <row r="5" ht="44" customHeight="1">
      <c r="B5" s="31" t="inlineStr">
        <is>
          <t>Amount column is entered as</t>
        </is>
      </c>
      <c r="C5" s="32" t="inlineStr">
        <is>
          <t>Paise</t>
        </is>
      </c>
      <c r="D5" s="13" t="inlineStr">
        <is>
          <t>Paise: the Amount column is the figure exactly as the settlement report shows it, with the last two digits being the paise, so 47400 means 474.00. Rupees: type 474.00 instead. The Reads as (INR) column on Entries shows the effect.</t>
        </is>
      </c>
    </row>
    <row r="6" ht="30" customHeight="1">
      <c r="B6" s="31" t="inlineStr">
        <is>
          <t>File name pattern</t>
        </is>
      </c>
      <c r="C6" s="32" t="inlineStr">
        <is>
          <t>PROPELG_TTUM_{DDMMYYYY}.txt</t>
        </is>
      </c>
      <c r="D6" s="13" t="inlineStr">
        <is>
          <t>Tokens are replaced with the file-name date shown on the Dashboard.</t>
        </is>
      </c>
    </row>
    <row r="7" ht="30" customHeight="1">
      <c r="B7" s="31" t="inlineStr">
        <is>
          <t>File-name date offset (days)</t>
        </is>
      </c>
      <c r="C7" s="32" t="n">
        <v>1</v>
      </c>
      <c r="D7" s="13" t="inlineStr">
        <is>
          <t>The bank sample is dated one day after the value date it carries, so this is 1. Set 0 to use the value date itself.</t>
        </is>
      </c>
    </row>
    <row r="8" ht="30" customHeight="1">
      <c r="B8" s="31" t="inlineStr">
        <is>
          <t>Block generation when out of balance</t>
        </is>
      </c>
      <c r="C8" s="32" t="inlineStr">
        <is>
          <t>Yes</t>
        </is>
      </c>
      <c r="D8" s="13" t="inlineStr">
        <is>
          <t>Yes stops the file when total debit does not equal total credit. No asks first and lets you continue.</t>
        </is>
      </c>
    </row>
    <row r="9" ht="30" customHeight="1">
      <c r="B9" s="31" t="inlineStr">
        <is>
          <t>Write a line break after the last record</t>
        </is>
      </c>
      <c r="C9" s="32" t="inlineStr">
        <is>
          <t>No</t>
        </is>
      </c>
      <c r="D9" s="13" t="inlineStr">
        <is>
          <t>No matches the bank's sample file, which ends immediately after the last record.</t>
        </is>
      </c>
    </row>
  </sheetData>
  <mergeCells count="2">
    <mergeCell ref="A1:D1"/>
    <mergeCell ref="A2:D2"/>
  </mergeCells>
  <dataValidations count="2">
    <dataValidation sqref="C5" showDropDown="0" showInputMessage="0" showErrorMessage="0" allowBlank="0" type="list">
      <formula1>"Paise,Rupees"</formula1>
    </dataValidation>
    <dataValidation sqref="C8:C9" showDropDown="0" showInputMessage="0" showErrorMessage="0" allowBlank="0" type="list">
      <formula1>"Yes,No"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Log">
    <outlinePr summaryBelow="1" summaryRight="1"/>
    <pageSetUpPr/>
  </sheetPr>
  <dimension ref="A1:J3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9" customWidth="1" min="1" max="1"/>
    <col width="14" customWidth="1" min="2" max="2"/>
    <col width="14" customWidth="1" min="3" max="3"/>
    <col width="30" customWidth="1" min="4" max="4"/>
    <col width="9" customWidth="1" min="5" max="5"/>
    <col width="14" customWidth="1" min="6" max="6"/>
    <col width="14" customWidth="1" min="7" max="7"/>
    <col width="16" customWidth="1" min="8" max="8"/>
    <col width="18" customWidth="1" min="9" max="9"/>
    <col width="60" customWidth="1" min="10" max="10"/>
  </cols>
  <sheetData>
    <row r="1" ht="30" customHeight="1">
      <c r="A1" s="1" t="inlineStr">
        <is>
          <t xml:space="preserve">   GENERATION LOG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</row>
    <row r="2" ht="16" customHeight="1">
      <c r="A2" s="3" t="inlineStr">
        <is>
          <t xml:space="preserve">   One row is added every time a file is written.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</row>
    <row r="3">
      <c r="A3" s="27" t="inlineStr">
        <is>
          <t>Generated at</t>
        </is>
      </c>
      <c r="B3" s="27" t="inlineStr">
        <is>
          <t>Value date</t>
        </is>
      </c>
      <c r="C3" s="27" t="inlineStr">
        <is>
          <t>File date</t>
        </is>
      </c>
      <c r="D3" s="27" t="inlineStr">
        <is>
          <t>File name</t>
        </is>
      </c>
      <c r="E3" s="27" t="inlineStr">
        <is>
          <t>Records</t>
        </is>
      </c>
      <c r="F3" s="27" t="inlineStr">
        <is>
          <t>Total debit</t>
        </is>
      </c>
      <c r="G3" s="27" t="inlineStr">
        <is>
          <t>Total credit</t>
        </is>
      </c>
      <c r="H3" s="27" t="inlineStr">
        <is>
          <t>Balance</t>
        </is>
      </c>
      <c r="I3" s="27" t="inlineStr">
        <is>
          <t>User</t>
        </is>
      </c>
      <c r="J3" s="27" t="inlineStr">
        <is>
          <t>Full path</t>
        </is>
      </c>
    </row>
  </sheetData>
  <mergeCells count="2">
    <mergeCell ref="A1:J1"/>
    <mergeCell ref="A2:J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Layout">
    <outlinePr summaryBelow="1" summaryRight="1"/>
    <pageSetUpPr/>
  </sheetPr>
  <dimension ref="A1:F25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8" customWidth="1" min="2" max="2"/>
    <col width="14" customWidth="1" min="3" max="3"/>
    <col width="24" customWidth="1" min="4" max="4"/>
    <col width="10" customWidth="1" min="5" max="5"/>
    <col width="60" customWidth="1" min="6" max="6"/>
  </cols>
  <sheetData>
    <row r="1" ht="30" customHeight="1">
      <c r="A1" s="1" t="inlineStr">
        <is>
          <t xml:space="preserve">   RECORD LAYOUT</t>
        </is>
      </c>
      <c r="B1" s="2" t="n"/>
      <c r="C1" s="2" t="n"/>
      <c r="D1" s="2" t="n"/>
      <c r="E1" s="2" t="n"/>
      <c r="F1" s="2" t="n"/>
    </row>
    <row r="2" ht="16" customHeight="1">
      <c r="A2" s="3" t="inlineStr">
        <is>
          <t xml:space="preserve">   Reference only - the macro builds every record to this layout.</t>
        </is>
      </c>
      <c r="B2" s="2" t="n"/>
      <c r="C2" s="2" t="n"/>
      <c r="D2" s="2" t="n"/>
      <c r="E2" s="2" t="n"/>
      <c r="F2" s="2" t="n"/>
    </row>
    <row r="4">
      <c r="B4" s="27" t="inlineStr">
        <is>
          <t>#</t>
        </is>
      </c>
      <c r="C4" s="27" t="inlineStr">
        <is>
          <t>Columns</t>
        </is>
      </c>
      <c r="D4" s="27" t="inlineStr">
        <is>
          <t>Field</t>
        </is>
      </c>
      <c r="E4" s="27" t="inlineStr">
        <is>
          <t>Length</t>
        </is>
      </c>
      <c r="F4" s="27" t="inlineStr">
        <is>
          <t>Content</t>
        </is>
      </c>
    </row>
    <row r="5">
      <c r="B5" s="33" t="n">
        <v>1</v>
      </c>
      <c r="C5" s="33" t="inlineStr">
        <is>
          <t>1-14</t>
        </is>
      </c>
      <c r="D5" s="33" t="inlineStr">
        <is>
          <t>Account number</t>
        </is>
      </c>
      <c r="E5" s="33" t="n">
        <v>14</v>
      </c>
      <c r="F5" s="34" t="inlineStr">
        <is>
          <t>Left justified, padded on the right with spaces.</t>
        </is>
      </c>
    </row>
    <row r="6">
      <c r="B6" s="33" t="n">
        <v>2</v>
      </c>
      <c r="C6" s="33" t="inlineStr">
        <is>
          <t>15-22</t>
        </is>
      </c>
      <c r="D6" s="33" t="inlineStr">
        <is>
          <t>Value date</t>
        </is>
      </c>
      <c r="E6" s="33" t="n">
        <v>8</v>
      </c>
      <c r="F6" s="34" t="inlineStr">
        <is>
          <t>DDMMYYYY.</t>
        </is>
      </c>
    </row>
    <row r="7">
      <c r="B7" s="33" t="n">
        <v>3</v>
      </c>
      <c r="C7" s="33" t="inlineStr">
        <is>
          <t>23-45</t>
        </is>
      </c>
      <c r="D7" s="33" t="inlineStr">
        <is>
          <t>Amount</t>
        </is>
      </c>
      <c r="E7" s="33" t="n">
        <v>23</v>
      </c>
      <c r="F7" s="34" t="inlineStr">
        <is>
          <t>Whole paise, padded on the left with zeros. 20000 means 200.00.</t>
        </is>
      </c>
    </row>
    <row r="8">
      <c r="B8" s="33" t="n">
        <v>4</v>
      </c>
      <c r="C8" s="33" t="inlineStr">
        <is>
          <t>46</t>
        </is>
      </c>
      <c r="D8" s="33" t="inlineStr">
        <is>
          <t>Transaction type</t>
        </is>
      </c>
      <c r="E8" s="33" t="n">
        <v>1</v>
      </c>
      <c r="F8" s="34" t="inlineStr">
        <is>
          <t>D for debit, C for credit.</t>
        </is>
      </c>
    </row>
    <row r="9">
      <c r="B9" s="33" t="n">
        <v>5</v>
      </c>
      <c r="C9" s="33" t="inlineStr">
        <is>
          <t>47-55</t>
        </is>
      </c>
      <c r="D9" s="33" t="inlineStr">
        <is>
          <t>Value date</t>
        </is>
      </c>
      <c r="E9" s="33" t="n">
        <v>9</v>
      </c>
      <c r="F9" s="34" t="inlineStr">
        <is>
          <t>The same date again as 0 + DDMMYYYY.</t>
        </is>
      </c>
    </row>
    <row r="10">
      <c r="B10" s="33" t="n">
        <v>6</v>
      </c>
      <c r="C10" s="33" t="inlineStr">
        <is>
          <t>56-81</t>
        </is>
      </c>
      <c r="D10" s="33" t="inlineStr">
        <is>
          <t>Filler</t>
        </is>
      </c>
      <c r="E10" s="33" t="n">
        <v>26</v>
      </c>
      <c r="F10" s="34" t="inlineStr">
        <is>
          <t>Spaces.</t>
        </is>
      </c>
    </row>
    <row r="11">
      <c r="B11" s="33" t="n">
        <v>7</v>
      </c>
      <c r="C11" s="33" t="inlineStr">
        <is>
          <t>82-116</t>
        </is>
      </c>
      <c r="D11" s="33" t="inlineStr">
        <is>
          <t>Narration</t>
        </is>
      </c>
      <c r="E11" s="33" t="n">
        <v>35</v>
      </c>
      <c r="F11" s="34" t="inlineStr">
        <is>
          <t>Left justified, padded on the right with spaces.</t>
        </is>
      </c>
    </row>
    <row r="12">
      <c r="B12" s="33" t="n">
        <v>8</v>
      </c>
      <c r="C12" s="33" t="inlineStr">
        <is>
          <t>117-186</t>
        </is>
      </c>
      <c r="D12" s="33" t="inlineStr">
        <is>
          <t>Filler</t>
        </is>
      </c>
      <c r="E12" s="33" t="n">
        <v>70</v>
      </c>
      <c r="F12" s="34" t="inlineStr">
        <is>
          <t>Spaces.</t>
        </is>
      </c>
    </row>
    <row r="13">
      <c r="D13" s="35" t="inlineStr">
        <is>
          <t>Total</t>
        </is>
      </c>
      <c r="E13" s="35" t="n">
        <v>186</v>
      </c>
      <c r="F13" s="9" t="inlineStr">
        <is>
          <t>Records are separated by CR LF.</t>
        </is>
      </c>
    </row>
    <row r="15">
      <c r="B15" s="14" t="inlineStr">
        <is>
          <t>Worked example - the bank's own file for value date 15-07-2026</t>
        </is>
      </c>
    </row>
    <row r="16">
      <c r="B16" s="9" t="inlineStr">
        <is>
          <t>Amounts below are that day's figures; each line is exactly 186 characters.</t>
        </is>
      </c>
    </row>
    <row r="17">
      <c r="B17" s="28" t="inlineStr">
        <is>
          <t xml:space="preserve">009935625117311507202600000000000000000020000D015072026                          PROPELG VI settlement 150726                                                                             </t>
        </is>
      </c>
    </row>
    <row r="18">
      <c r="B18" s="28" t="inlineStr">
        <is>
          <t xml:space="preserve">009935625117321507202600000000000000000030000D015072026                          PROPELG MC settlement 150726                                                                             </t>
        </is>
      </c>
    </row>
    <row r="19">
      <c r="B19" s="28" t="inlineStr">
        <is>
          <t xml:space="preserve">009935646101191507202600000000000000000001000C015072026                          PROPELG MC comm recd 150726                                                                              </t>
        </is>
      </c>
    </row>
    <row r="20">
      <c r="B20" s="28" t="inlineStr">
        <is>
          <t xml:space="preserve">009935646101221507202600000000000000000001000C015072026                          PROPELG VI comm recd 150726                                                                              </t>
        </is>
      </c>
    </row>
    <row r="21">
      <c r="B21" s="28" t="inlineStr">
        <is>
          <t xml:space="preserve">009935646101191507202600000000000000000000200C015072026                          PROPELG MC GST comm recd 150726                                                                          </t>
        </is>
      </c>
    </row>
    <row r="22">
      <c r="B22" s="28" t="inlineStr">
        <is>
          <t xml:space="preserve">009935646101221507202600000000000000000000200C015072026                          PROPELG VI GST comm recd 150726                                                                          </t>
        </is>
      </c>
    </row>
    <row r="23">
      <c r="B23" s="28" t="inlineStr">
        <is>
          <t xml:space="preserve">009935646101191507202600000000000000000000100C015072026                          PROPELG MC Non GST comm recd 150726                                                                      </t>
        </is>
      </c>
    </row>
    <row r="24">
      <c r="B24" s="28" t="inlineStr">
        <is>
          <t xml:space="preserve">009935646101221507202600000000000000000000100C015072026                          PROPELG VI Non GST comm recd 150726                                                                      </t>
        </is>
      </c>
    </row>
    <row r="25">
      <c r="B25" s="28" t="inlineStr">
        <is>
          <t xml:space="preserve">200999103427  1507202600000000000000000047400C015072026                          PROPELG-TXN Prp India 150726 150726                                                                      </t>
        </is>
      </c>
    </row>
  </sheetData>
  <mergeCells count="2">
    <mergeCell ref="A2:F2"/>
    <mergeCell ref="A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Setup">
    <outlinePr summaryBelow="1" summaryRight="1"/>
    <pageSetUpPr/>
  </sheetPr>
  <dimension ref="A1:C26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30" customHeight="1">
      <c r="A1" s="1" t="inlineStr">
        <is>
          <t xml:space="preserve">   SETUP AND TROUBLESHOOTING</t>
        </is>
      </c>
      <c r="B1" s="2" t="n"/>
      <c r="C1" s="2" t="n"/>
    </row>
    <row r="2" ht="16" customHeight="1">
      <c r="A2" s="3" t="inlineStr">
        <is>
          <t xml:space="preserve">   Read this if clicking a button on the Dashboard does nothing.</t>
        </is>
      </c>
      <c r="B2" s="2" t="n"/>
      <c r="C2" s="2" t="n"/>
    </row>
    <row r="4" ht="44" customHeight="1">
      <c r="B4" s="36" t="inlineStr">
        <is>
          <t>Why a button can do nothing</t>
        </is>
      </c>
    </row>
    <row r="6" ht="42" customHeight="1">
      <c r="B6" s="13" t="inlineStr">
        <is>
          <t>The buttons are drawings stored in the file, so they are always visible. What they run is a macro, and Excel will refuse to run macros in a file it does not trust. Work down this list - the first step fixes it most of the time.</t>
        </is>
      </c>
    </row>
    <row r="8">
      <c r="B8" s="5" t="inlineStr">
        <is>
          <t>1.  Unblock the file  (do this one first)</t>
        </is>
      </c>
    </row>
    <row r="9" ht="44" customHeight="1">
      <c r="B9" s="36" t="inlineStr">
        <is>
          <t>Close the workbook. Find it in File Explorer, right-click it, choose Properties, tick Unblock at the bottom of the General tab, click OK, then open it again.</t>
        </is>
      </c>
    </row>
    <row r="11" ht="42" customHeight="1">
      <c r="B11" s="13" t="inlineStr">
        <is>
          <t>Files that arrive by email or download carry a mark that makes Excel block their macros outright. Newer Excel shows a red bar for this - Enable Content will not appear, and clicking anything else will not help. Unblocking is the only fix.</t>
        </is>
      </c>
    </row>
    <row r="13">
      <c r="B13" s="5" t="inlineStr">
        <is>
          <t>2.  Put the workbook in a trusted folder</t>
        </is>
      </c>
    </row>
    <row r="14" ht="44" customHeight="1">
      <c r="B14" s="36" t="inlineStr">
        <is>
          <t>File &gt; Options &gt; Trust Center &gt; Trust Center Settings &gt; Trusted Locations &gt; Add new location. Add the folder you keep this workbook in, then reopen it.</t>
        </is>
      </c>
    </row>
    <row r="16">
      <c r="B16" s="5" t="inlineStr">
        <is>
          <t>3.  Check the macro setting itself</t>
        </is>
      </c>
    </row>
    <row r="17" ht="44" customHeight="1">
      <c r="B17" s="36" t="inlineStr">
        <is>
          <t>File &gt; Options &gt; Trust Center &gt; Trust Center Settings &gt; Macro Settings. It should be Disable all macros with notification. If it is Disable all macros without notification, no prompt ever appears and nothing will run.</t>
        </is>
      </c>
    </row>
    <row r="19">
      <c r="B19" s="5" t="inlineStr">
        <is>
          <t>4.  Check whether the macros arrived at all</t>
        </is>
      </c>
    </row>
    <row r="20" ht="44" customHeight="1">
      <c r="B20" s="36" t="inlineStr">
        <is>
          <t>Press Alt+F8. If GenerateTTUM is in the list, the macros are present - run it straight from there, and the buttons will work once trust is sorted out. If the list is empty, the macros did not load, so do step 5.</t>
        </is>
      </c>
    </row>
    <row r="22">
      <c r="B22" s="5" t="inlineStr">
        <is>
          <t>5.  Load the macros by hand  (about a minute, needed only once)</t>
        </is>
      </c>
    </row>
    <row r="23" ht="44" customHeight="1">
      <c r="B23" s="36" t="inlineStr">
        <is>
          <t>Press Alt+F11 to open the Visual Basic editor. Choose File &gt; Import File, pick modTTUM.bas from the folder this workbook came in, then press Alt+Q to close the editor. Save the workbook. The buttons are already wired to it and will now work.</t>
        </is>
      </c>
    </row>
    <row r="25">
      <c r="B25" s="5" t="inlineStr">
        <is>
          <t>If macros are blocked and cannot be unblocked</t>
        </is>
      </c>
    </row>
    <row r="26" ht="44" customHeight="1">
      <c r="B26" s="36" t="inlineStr">
        <is>
          <t>Use the Text Output sheet. It builds the same records with worksheet formulas and no macro at all - copy them into Notepad and save. Nothing else about the workbook changes: the dates, amounts and checks all work as normal.</t>
        </is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2026-09-03T11:38:21Z</dcterms:created>
  <dcterms:modified xsi:type="dcterms:W3CDTF">2026-09-03T11:38:21Z</dcterms:modified>
</cp:coreProperties>
</file>