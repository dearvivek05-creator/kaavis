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Entries" sheetId="2" state="visible" r:id="rId2"/>
    <sheet name="Config" sheetId="3" state="visible" r:id="rId3"/>
    <sheet name="Log" sheetId="4" state="visible" r:id="rId4"/>
    <sheet name="Layout" sheetId="5" state="visible" r:id="rId5"/>
  </sheets>
  <definedNames>
    <definedName name="ttValueDate">Dashboard!$C$6</definedName>
    <definedName name="ttFileDate">Dashboard!$C$7</definedName>
    <definedName name="ttOutputFolder">Dashboard!$C$17</definedName>
    <definedName name="ttStatus">Dashboard!$B$22</definedName>
    <definedName name="ttAmountUnit">Config!$C$5</definedName>
    <definedName name="ttFileNamePattern">Config!$C$6</definedName>
    <definedName name="ttFileDateOffset">Config!$C$7</definedName>
    <definedName name="ttEnforceBalance">Config!$C$8</definedName>
    <definedName name="ttTrailingNewline">Config!$C$9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-mmm-yyyy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8"/>
    </font>
    <font>
      <name val="Calibri"/>
      <i val="1"/>
      <color rgb="00D6E0EA"/>
      <sz val="10"/>
    </font>
    <font>
      <name val="Calibri"/>
      <b val="1"/>
      <color rgb="008A6100"/>
      <sz val="10"/>
    </font>
    <font>
      <name val="Calibri"/>
      <b val="1"/>
      <color rgb="001F3355"/>
      <sz val="11"/>
    </font>
    <font>
      <name val="Calibri"/>
      <color rgb="001F2937"/>
      <sz val="11"/>
    </font>
    <font>
      <name val="Calibri"/>
      <b val="1"/>
      <color rgb="001F2937"/>
      <sz val="11"/>
    </font>
    <font>
      <name val="Calibri"/>
      <i val="1"/>
      <color rgb="006B7280"/>
      <sz val="9"/>
    </font>
    <font>
      <name val="Calibri"/>
      <b val="1"/>
      <color rgb="00006E3C"/>
      <sz val="11"/>
    </font>
    <font>
      <name val="Calibri"/>
      <b val="1"/>
      <sz val="11"/>
    </font>
    <font>
      <b val="1"/>
      <sz val="10"/>
    </font>
    <font>
      <name val="Calibri"/>
      <b val="1"/>
      <color rgb="001F3355"/>
      <sz val="10"/>
    </font>
    <font>
      <name val="Calibri"/>
      <sz val="10"/>
    </font>
    <font>
      <sz val="10"/>
    </font>
    <font>
      <name val="Consolas"/>
      <sz val="10"/>
    </font>
  </fonts>
  <fills count="8">
    <fill>
      <patternFill/>
    </fill>
    <fill>
      <patternFill patternType="gray125"/>
    </fill>
    <fill>
      <patternFill patternType="solid">
        <fgColor rgb="001F3355"/>
      </patternFill>
    </fill>
    <fill>
      <patternFill patternType="solid">
        <fgColor rgb="00FFF3CD"/>
      </patternFill>
    </fill>
    <fill>
      <patternFill patternType="solid">
        <fgColor rgb="00EEF2F7"/>
      </patternFill>
    </fill>
    <fill>
      <patternFill patternType="solid">
        <fgColor rgb="00FFF7DB"/>
      </patternFill>
    </fill>
    <fill>
      <patternFill patternType="solid">
        <fgColor rgb="00D9E2EC"/>
      </patternFill>
    </fill>
    <fill>
      <patternFill patternType="solid">
        <fgColor rgb="00FFFFFF"/>
      </patternFill>
    </fill>
  </fills>
  <borders count="2">
    <border>
      <left/>
      <right/>
      <top/>
      <bottom/>
      <diagonal/>
    </border>
    <border>
      <left style="thin">
        <color rgb="00BFCBD9"/>
      </left>
      <right style="thin">
        <color rgb="00BFCBD9"/>
      </right>
      <top style="thin">
        <color rgb="00BFCBD9"/>
      </top>
      <bottom style="thin">
        <color rgb="00BFCBD9"/>
      </bottom>
    </border>
  </borders>
  <cellStyleXfs count="1">
    <xf numFmtId="0" fontId="0" fillId="0" borderId="0"/>
  </cellStyleXfs>
  <cellXfs count="31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0" fillId="2" borderId="0" pivotButton="0" quotePrefix="0" xfId="0"/>
    <xf numFmtId="0" fontId="2" fillId="2" borderId="0" pivotButton="0" quotePrefix="0" xfId="0"/>
    <xf numFmtId="0" fontId="3" fillId="3" borderId="0" applyAlignment="1" pivotButton="0" quotePrefix="0" xfId="0">
      <alignment vertical="center" indent="1"/>
    </xf>
    <xf numFmtId="0" fontId="4" fillId="4" borderId="0" pivotButton="0" quotePrefix="0" xfId="0"/>
    <xf numFmtId="0" fontId="0" fillId="4" borderId="0" pivotButton="0" quotePrefix="0" xfId="0"/>
    <xf numFmtId="0" fontId="5" fillId="0" borderId="0" pivotButton="0" quotePrefix="0" xfId="0"/>
    <xf numFmtId="164" fontId="6" fillId="5" borderId="1" pivotButton="0" quotePrefix="0" xfId="0"/>
    <xf numFmtId="0" fontId="7" fillId="0" borderId="0" pivotButton="0" quotePrefix="0" xfId="0"/>
    <xf numFmtId="0" fontId="6" fillId="0" borderId="1" pivotButton="0" quotePrefix="0" xfId="0"/>
    <xf numFmtId="4" fontId="6" fillId="0" borderId="1" pivotButton="0" quotePrefix="0" xfId="0"/>
    <xf numFmtId="0" fontId="6" fillId="5" borderId="1" applyAlignment="1" pivotButton="0" quotePrefix="0" xfId="0">
      <alignment vertical="center" indent="1"/>
    </xf>
    <xf numFmtId="0" fontId="7" fillId="0" borderId="0" applyAlignment="1" pivotButton="0" quotePrefix="0" xfId="0">
      <alignment vertical="top" wrapText="1"/>
    </xf>
    <xf numFmtId="0" fontId="4" fillId="0" borderId="0" pivotButton="0" quotePrefix="0" xfId="0"/>
    <xf numFmtId="0" fontId="8" fillId="0" borderId="0" applyAlignment="1" pivotButton="0" quotePrefix="0" xfId="0">
      <alignment vertical="center"/>
    </xf>
    <xf numFmtId="4" fontId="10" fillId="0" borderId="0" pivotButton="0" quotePrefix="0" xfId="0"/>
    <xf numFmtId="0" fontId="9" fillId="0" borderId="0" applyAlignment="1" pivotButton="0" quotePrefix="0" xfId="0">
      <alignment vertical="center"/>
    </xf>
    <xf numFmtId="0" fontId="11" fillId="6" borderId="1" applyAlignment="1" pivotButton="0" quotePrefix="0" xfId="0">
      <alignment horizontal="center" vertical="center" wrapText="1"/>
    </xf>
    <xf numFmtId="0" fontId="12" fillId="7" borderId="1" applyAlignment="1" pivotButton="0" quotePrefix="0" xfId="0">
      <alignment horizontal="center"/>
    </xf>
    <xf numFmtId="0" fontId="12" fillId="7" borderId="1" pivotButton="0" quotePrefix="0" xfId="0"/>
    <xf numFmtId="49" fontId="12" fillId="7" borderId="1" applyAlignment="1" pivotButton="0" quotePrefix="0" xfId="0">
      <alignment horizontal="left"/>
    </xf>
    <xf numFmtId="3" fontId="12" fillId="5" borderId="1" pivotButton="0" quotePrefix="0" xfId="0"/>
    <xf numFmtId="4" fontId="11" fillId="7" borderId="1" pivotButton="0" quotePrefix="0" xfId="0"/>
    <xf numFmtId="0" fontId="11" fillId="6" borderId="1" pivotButton="0" quotePrefix="0" xfId="0"/>
    <xf numFmtId="0" fontId="5" fillId="0" borderId="1" pivotButton="0" quotePrefix="0" xfId="0"/>
    <xf numFmtId="0" fontId="6" fillId="5" borderId="1" pivotButton="0" quotePrefix="0" xfId="0"/>
    <xf numFmtId="0" fontId="13" fillId="0" borderId="1" pivotButton="0" quotePrefix="0" xfId="0"/>
    <xf numFmtId="0" fontId="13" fillId="0" borderId="1" applyAlignment="1" pivotButton="0" quotePrefix="0" xfId="0">
      <alignment vertical="top" wrapText="1"/>
    </xf>
    <xf numFmtId="0" fontId="11" fillId="0" borderId="0" pivotButton="0" quotePrefix="0" xfId="0"/>
    <xf numFmtId="0" fontId="14" fillId="0" borderId="0" pivotButton="0" quotePrefix="0" xfId="0"/>
  </cellXfs>
  <cellStyles count="1">
    <cellStyle name="Normal" xfId="0" builtinId="0" hidden="0"/>
  </cellStyles>
  <dxfs count="2">
    <dxf>
      <font>
        <b val="1"/>
        <color rgb="009C0006"/>
      </font>
      <fill>
        <patternFill patternType="solid">
          <fgColor rgb="00FFC7CE"/>
        </patternFill>
      </fill>
    </dxf>
    <dxf>
      <font>
        <b val="1"/>
        <color rgb="00006100"/>
      </font>
      <fill>
        <patternFill patternType="solid">
          <f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4</xdr:row>
      <xdr:rowOff>0</xdr:rowOff>
    </xdr:from>
    <xdr:ext cx="2032000" cy="381000"/>
    <xdr:sp macro="modTTUM.GenerateTTUM" textlink="">
      <xdr:nvSpPr>
        <xdr:cNvPr id="2" name="btnTT0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1F3355"/>
        </a:solidFill>
        <a:ln w="12700">
          <a:solidFill>
            <a:srgbClr val="16283F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Calibri"/>
            </a:rPr>
            <a:t>Generate TTUM File</a:t>
          </a:r>
        </a:p>
      </xdr:txBody>
    </xdr:sp>
    <xdr:clientData/>
  </xdr:oneCellAnchor>
  <xdr:oneCellAnchor>
    <xdr:from>
      <xdr:col>7</xdr:col>
      <xdr:colOff>0</xdr:colOff>
      <xdr:row>4</xdr:row>
      <xdr:rowOff>482600</xdr:rowOff>
    </xdr:from>
    <xdr:ext cx="2032000" cy="381000"/>
    <xdr:sp macro="modTTUM.PreviewTTUM" textlink="">
      <xdr:nvSpPr>
        <xdr:cNvPr id="3" name="btnTT1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Preview Records</a:t>
          </a:r>
        </a:p>
      </xdr:txBody>
    </xdr:sp>
    <xdr:clientData/>
  </xdr:oneCellAnchor>
  <xdr:oneCellAnchor>
    <xdr:from>
      <xdr:col>7</xdr:col>
      <xdr:colOff>0</xdr:colOff>
      <xdr:row>4</xdr:row>
      <xdr:rowOff>965200</xdr:rowOff>
    </xdr:from>
    <xdr:ext cx="2032000" cy="381000"/>
    <xdr:sp macro="modTTUM.ValidateEntries" textlink="">
      <xdr:nvSpPr>
        <xdr:cNvPr id="4" name="btnTT2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Validate Entries</a:t>
          </a:r>
        </a:p>
      </xdr:txBody>
    </xdr:sp>
    <xdr:clientData/>
  </xdr:oneCellAnchor>
  <xdr:oneCellAnchor>
    <xdr:from>
      <xdr:col>7</xdr:col>
      <xdr:colOff>0</xdr:colOff>
      <xdr:row>4</xdr:row>
      <xdr:rowOff>1447800</xdr:rowOff>
    </xdr:from>
    <xdr:ext cx="2032000" cy="381000"/>
    <xdr:sp macro="modTTUM.ResetDateToToday" textlink="">
      <xdr:nvSpPr>
        <xdr:cNvPr id="5" name="btnTT3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Reset Date to Today</a:t>
          </a:r>
        </a:p>
      </xdr:txBody>
    </xdr:sp>
    <xdr:clientData/>
  </xdr:oneCellAnchor>
  <xdr:oneCellAnchor>
    <xdr:from>
      <xdr:col>7</xdr:col>
      <xdr:colOff>0</xdr:colOff>
      <xdr:row>4</xdr:row>
      <xdr:rowOff>1930400</xdr:rowOff>
    </xdr:from>
    <xdr:ext cx="2032000" cy="381000"/>
    <xdr:sp macro="modTTUM.ClearAmounts" textlink="">
      <xdr:nvSpPr>
        <xdr:cNvPr id="6" name="btnTT4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Clear Amounts</a:t>
          </a:r>
        </a:p>
      </xdr:txBody>
    </xdr:sp>
    <xdr:clientData/>
  </xdr:oneCellAnchor>
  <xdr:oneCellAnchor>
    <xdr:from>
      <xdr:col>7</xdr:col>
      <xdr:colOff>0</xdr:colOff>
      <xdr:row>4</xdr:row>
      <xdr:rowOff>2413000</xdr:rowOff>
    </xdr:from>
    <xdr:ext cx="2032000" cy="381000"/>
    <xdr:sp macro="modTTUM.BrowseOutputFolder" textlink="">
      <xdr:nvSpPr>
        <xdr:cNvPr id="7" name="btnTT5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Choose Output Folder...</a:t>
          </a:r>
        </a:p>
      </xdr:txBody>
    </xdr:sp>
    <xdr:clientData/>
  </xdr:oneCellAnchor>
  <xdr:oneCellAnchor>
    <xdr:from>
      <xdr:col>7</xdr:col>
      <xdr:colOff>0</xdr:colOff>
      <xdr:row>4</xdr:row>
      <xdr:rowOff>2895600</xdr:rowOff>
    </xdr:from>
    <xdr:ext cx="2032000" cy="381000"/>
    <xdr:sp macro="modTTUM.OpenOutputFolder" textlink="">
      <xdr:nvSpPr>
        <xdr:cNvPr id="8" name="btnTT6"/>
        <xdr:cNvSpPr/>
      </xdr:nvSpPr>
      <xdr:spPr>
        <a:xfrm>
          <a:off x="0" y="0"/>
          <a:ext cx="0" cy="0"/>
        </a:xfrm>
        <a:prstGeom prst="roundRect">
          <a:avLst>
            <a:gd name="adj" fmla="val 12000"/>
          </a:avLst>
        </a:prstGeom>
        <a:solidFill>
          <a:srgbClr val="F1F5FA"/>
        </a:solidFill>
        <a:ln w="12700">
          <a:solidFill>
            <a:srgbClr val="9FB2C6"/>
          </a:solidFill>
        </a:ln>
      </xdr:spPr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1F3355"/>
              </a:solidFill>
              <a:latin typeface="Calibri"/>
            </a:rPr>
            <a:t>Open Output Folder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ing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Dashboard">
    <outlinePr summaryBelow="1" summaryRight="1"/>
    <pageSetUpPr/>
  </sheetPr>
  <dimension ref="A1:H2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34" customWidth="1" min="2" max="2"/>
    <col width="46" customWidth="1" min="3" max="3"/>
    <col width="2.5" customWidth="1" min="4" max="4"/>
    <col width="2.5" customWidth="1" min="5" max="5"/>
    <col width="2.5" customWidth="1" min="6" max="6"/>
    <col width="2.5" customWidth="1" min="7" max="7"/>
    <col width="30" customWidth="1" min="8" max="8"/>
  </cols>
  <sheetData>
    <row r="1" ht="30" customHeight="1">
      <c r="A1" s="1" t="inlineStr">
        <is>
          <t xml:space="preserve">   TTUM GENERATOR</t>
        </is>
      </c>
      <c r="B1" s="2" t="n"/>
      <c r="C1" s="2" t="n"/>
      <c r="D1" s="2" t="n"/>
      <c r="E1" s="2" t="n"/>
      <c r="F1" s="2" t="n"/>
      <c r="G1" s="2" t="n"/>
      <c r="H1" s="2" t="n"/>
    </row>
    <row r="2" ht="16" customHeight="1">
      <c r="A2" s="3" t="inlineStr">
        <is>
          <t xml:space="preserve">   Enter the day's amounts on the Entries sheet, check the date, then click Generate.</t>
        </is>
      </c>
      <c r="B2" s="2" t="n"/>
      <c r="C2" s="2" t="n"/>
      <c r="D2" s="2" t="n"/>
      <c r="E2" s="2" t="n"/>
      <c r="F2" s="2" t="n"/>
      <c r="G2" s="2" t="n"/>
      <c r="H2" s="2" t="n"/>
    </row>
    <row r="3" ht="20" customHeight="1">
      <c r="B3" s="4" t="inlineStr">
        <is>
          <t>If the buttons on the right do nothing, Excel is blocking macros:  click Enable Editing, then Enable Content, at the top of the window.</t>
        </is>
      </c>
    </row>
    <row r="5">
      <c r="B5" s="5" t="inlineStr">
        <is>
          <t>STEP 1   Set the date</t>
        </is>
      </c>
      <c r="C5" s="6" t="n"/>
    </row>
    <row r="6">
      <c r="B6" s="7" t="inlineStr">
        <is>
          <t>Value date  (goes into every record)</t>
        </is>
      </c>
      <c r="C6" s="8">
        <f>TODAY()</f>
        <v/>
      </c>
    </row>
    <row r="7">
      <c r="B7" s="7" t="inlineStr">
        <is>
          <t>File-name date  (offset is set on Config)</t>
        </is>
      </c>
      <c r="C7" s="8">
        <f>ttValueDate+ttFileDateOffset</f>
        <v/>
      </c>
    </row>
    <row r="8">
      <c r="B8" s="9" t="inlineStr">
        <is>
          <t>Today's date is filled in automatically. Type over it to build the file for another day.</t>
        </is>
      </c>
    </row>
    <row r="10">
      <c r="B10" s="5" t="inlineStr">
        <is>
          <t>STEP 2   Enter the amounts on the Entries sheet</t>
        </is>
      </c>
      <c r="C10" s="6" t="n"/>
    </row>
    <row r="11">
      <c r="B11" s="7" t="inlineStr">
        <is>
          <t>Rows included</t>
        </is>
      </c>
      <c r="C11" s="10">
        <f>COUNTIF(Entries!$A$5:$A$104,"Yes")</f>
        <v/>
      </c>
    </row>
    <row r="12">
      <c r="B12" s="7" t="inlineStr">
        <is>
          <t>Total debit</t>
        </is>
      </c>
      <c r="C12" s="11">
        <f>Entries!$J$1</f>
        <v/>
      </c>
    </row>
    <row r="13">
      <c r="B13" s="7" t="inlineStr">
        <is>
          <t>Total credit</t>
        </is>
      </c>
      <c r="C13" s="11">
        <f>Entries!$J$2</f>
        <v/>
      </c>
    </row>
    <row r="14">
      <c r="B14" s="7" t="inlineStr">
        <is>
          <t>Difference  (must be 0.00)</t>
        </is>
      </c>
      <c r="C14" s="11">
        <f>Entries!$J$3</f>
        <v/>
      </c>
    </row>
    <row r="16">
      <c r="B16" s="5" t="inlineStr">
        <is>
          <t>STEP 3   Choose where the file goes, then generate</t>
        </is>
      </c>
      <c r="C16" s="6" t="n"/>
    </row>
    <row r="17" ht="20" customHeight="1">
      <c r="B17" s="7" t="inlineStr">
        <is>
          <t>Output folder</t>
        </is>
      </c>
      <c r="C17" s="12" t="n"/>
    </row>
    <row r="18" ht="26" customHeight="1">
      <c r="B18" s="13" t="inlineStr">
        <is>
          <t>Type or paste a full folder path here, for example  D:\TTUM\Daily  -  or click Choose Output Folder. Left blank, files go to a TTUM_Output folder beside this workbook.</t>
        </is>
      </c>
    </row>
    <row r="19">
      <c r="B19" s="7" t="inlineStr">
        <is>
          <t>File name</t>
        </is>
      </c>
      <c r="C19" s="10">
        <f>SUBSTITUTE(SUBSTITUTE(SUBSTITUTE(ttFileNamePattern,"{DDMMYYYY}",TEXT(ttFileDate,"ddmmyyyy")),"{DDMMYY}",TEXT(ttFileDate,"ddmmyy")),"{YYYY}",TEXT(ttFileDate,"yyyy"))</f>
        <v/>
      </c>
    </row>
    <row r="21">
      <c r="B21" s="14" t="inlineStr">
        <is>
          <t>Status</t>
        </is>
      </c>
    </row>
    <row r="22" ht="22" customHeight="1">
      <c r="B22" s="15" t="inlineStr">
        <is>
          <t>Ready.</t>
        </is>
      </c>
    </row>
    <row r="24">
      <c r="B24" s="9" t="inlineStr">
        <is>
          <t>Every button is also on the Alt+F8 macro list. If the buttons are missing altogether, run TTUM_Setup from there.</t>
        </is>
      </c>
    </row>
  </sheetData>
  <mergeCells count="7">
    <mergeCell ref="B22:H22"/>
    <mergeCell ref="A2:H2"/>
    <mergeCell ref="B24:H24"/>
    <mergeCell ref="A1:H1"/>
    <mergeCell ref="B18:C18"/>
    <mergeCell ref="B3:H3"/>
    <mergeCell ref="B8:C8"/>
  </mergeCells>
  <conditionalFormatting sqref="C14">
    <cfRule type="cellIs" priority="1" operator="notEqual" dxfId="0">
      <formula>0</formula>
    </cfRule>
    <cfRule type="cellIs" priority="2" operator="equal" dxfId="1">
      <formula>0</formula>
    </cfRule>
  </conditionalFormatting>
  <pageMargins left="0.75" right="0.75" top="1" bottom="1" header="0.5" footer="0.5"/>
  <drawing r:id="rIdDrawing"/>
</worksheet>
</file>

<file path=xl/worksheets/sheet2.xml><?xml version="1.0" encoding="utf-8"?>
<worksheet xmlns="http://schemas.openxmlformats.org/spreadsheetml/2006/main">
  <sheetPr codeName="shEntries">
    <outlinePr summaryBelow="1" summaryRight="1"/>
    <pageSetUpPr/>
  </sheetPr>
  <dimension ref="A1:J10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min="1" max="1"/>
    <col width="28" customWidth="1" min="2" max="2"/>
    <col width="18" customWidth="1" min="3" max="3"/>
    <col width="8" customWidth="1" min="4" max="4"/>
    <col width="20" customWidth="1" min="5" max="5"/>
    <col width="42" customWidth="1" min="6" max="6"/>
    <col width="16" customWidth="1" min="7" max="7"/>
    <col width="2.5" customWidth="1" min="8" max="8"/>
    <col width="14" customWidth="1" min="9" max="9"/>
    <col width="14" customWidth="1" min="10" max="10"/>
  </cols>
  <sheetData>
    <row r="1" ht="30" customHeight="1">
      <c r="A1" s="1" t="inlineStr">
        <is>
          <t xml:space="preserve">   DAILY TTUM ENTRIES</t>
        </is>
      </c>
      <c r="B1" s="2" t="n"/>
      <c r="C1" s="2" t="n"/>
      <c r="D1" s="2" t="n"/>
      <c r="E1" s="2" t="n"/>
      <c r="F1" s="2" t="n"/>
      <c r="G1" s="2" t="n"/>
      <c r="I1" s="9" t="inlineStr">
        <is>
          <t>Total debit</t>
        </is>
      </c>
      <c r="J1" s="16">
        <f>SUMIFS($E$5:$E$104,$D$5:$D$104,"D",$A$5:$A$104,"Yes")/IF(ttAmountUnit="Paise",100,1)</f>
        <v/>
      </c>
    </row>
    <row r="2" ht="16" customHeight="1">
      <c r="A2" s="3" t="inlineStr">
        <is>
          <t xml:space="preserve">   Type today's amount and Dr/Cr against each line. Blank rows are ignored.</t>
        </is>
      </c>
      <c r="B2" s="2" t="n"/>
      <c r="C2" s="2" t="n"/>
      <c r="D2" s="2" t="n"/>
      <c r="E2" s="2" t="n"/>
      <c r="F2" s="2" t="n"/>
      <c r="G2" s="2" t="n"/>
      <c r="I2" s="9" t="inlineStr">
        <is>
          <t>Total credit</t>
        </is>
      </c>
      <c r="J2" s="16">
        <f>SUMIFS($E$5:$E$104,$D$5:$D$104,"C",$A$5:$A$104,"Yes")/IF(ttAmountUnit="Paise",100,1)</f>
        <v/>
      </c>
    </row>
    <row r="3" ht="20" customHeight="1">
      <c r="A3" s="17">
        <f>"Total debit  "&amp;TEXT($J$1,"#,##0.00")&amp;"      Total credit  "&amp;TEXT($J$2,"#,##0.00")&amp;"      Difference  "&amp;TEXT($J$3,"#,##0.00")&amp;IF($J$3=0,"    (balanced)","    &lt;&lt;&lt; THESE MUST MATCH")</f>
        <v/>
      </c>
      <c r="I3" s="9" t="inlineStr">
        <is>
          <t>Difference</t>
        </is>
      </c>
      <c r="J3" s="16">
        <f>$J$1-$J$2</f>
        <v/>
      </c>
    </row>
    <row r="4" ht="28" customHeight="1">
      <c r="A4" s="18" t="inlineStr">
        <is>
          <t>Include</t>
        </is>
      </c>
      <c r="B4" s="18" t="inlineStr">
        <is>
          <t>Description</t>
        </is>
      </c>
      <c r="C4" s="18" t="inlineStr">
        <is>
          <t>Account Number</t>
        </is>
      </c>
      <c r="D4" s="18" t="inlineStr">
        <is>
          <t>Dr/Cr</t>
        </is>
      </c>
      <c r="E4" s="18" t="inlineStr">
        <is>
          <t>Amount as keyed</t>
        </is>
      </c>
      <c r="F4" s="18" t="inlineStr">
        <is>
          <t>Narration template</t>
        </is>
      </c>
      <c r="G4" s="18" t="inlineStr">
        <is>
          <t>Reads as (INR)</t>
        </is>
      </c>
    </row>
    <row r="5">
      <c r="A5" s="19" t="inlineStr">
        <is>
          <t>Yes</t>
        </is>
      </c>
      <c r="B5" s="20" t="inlineStr">
        <is>
          <t>VI settlement</t>
        </is>
      </c>
      <c r="C5" s="21" t="inlineStr">
        <is>
          <t>00993562511731</t>
        </is>
      </c>
      <c r="D5" s="19" t="inlineStr">
        <is>
          <t>D</t>
        </is>
      </c>
      <c r="E5" s="22" t="n"/>
      <c r="F5" s="20" t="inlineStr">
        <is>
          <t>PROPELG VI settlement {DDMMYY}</t>
        </is>
      </c>
      <c r="G5" s="23">
        <f>IF($E5="","",$E5/IF(ttAmountUnit="Paise",100,1))</f>
        <v/>
      </c>
    </row>
    <row r="6">
      <c r="A6" s="19" t="inlineStr">
        <is>
          <t>Yes</t>
        </is>
      </c>
      <c r="B6" s="20" t="inlineStr">
        <is>
          <t>MC settlement</t>
        </is>
      </c>
      <c r="C6" s="21" t="inlineStr">
        <is>
          <t>00993562511732</t>
        </is>
      </c>
      <c r="D6" s="19" t="inlineStr">
        <is>
          <t>D</t>
        </is>
      </c>
      <c r="E6" s="22" t="n"/>
      <c r="F6" s="20" t="inlineStr">
        <is>
          <t>PROPELG MC settlement {DDMMYY}</t>
        </is>
      </c>
      <c r="G6" s="23">
        <f>IF($E6="","",$E6/IF(ttAmountUnit="Paise",100,1))</f>
        <v/>
      </c>
    </row>
    <row r="7">
      <c r="A7" s="19" t="inlineStr">
        <is>
          <t>Yes</t>
        </is>
      </c>
      <c r="B7" s="20" t="inlineStr">
        <is>
          <t>MC commission received</t>
        </is>
      </c>
      <c r="C7" s="21" t="inlineStr">
        <is>
          <t>00993564610119</t>
        </is>
      </c>
      <c r="D7" s="19" t="inlineStr">
        <is>
          <t>C</t>
        </is>
      </c>
      <c r="E7" s="22" t="n"/>
      <c r="F7" s="20" t="inlineStr">
        <is>
          <t>PROPELG MC comm recd {DDMMYY}</t>
        </is>
      </c>
      <c r="G7" s="23">
        <f>IF($E7="","",$E7/IF(ttAmountUnit="Paise",100,1))</f>
        <v/>
      </c>
    </row>
    <row r="8">
      <c r="A8" s="19" t="inlineStr">
        <is>
          <t>Yes</t>
        </is>
      </c>
      <c r="B8" s="20" t="inlineStr">
        <is>
          <t>VI commission received</t>
        </is>
      </c>
      <c r="C8" s="21" t="inlineStr">
        <is>
          <t>00993564610122</t>
        </is>
      </c>
      <c r="D8" s="19" t="inlineStr">
        <is>
          <t>C</t>
        </is>
      </c>
      <c r="E8" s="22" t="n"/>
      <c r="F8" s="20" t="inlineStr">
        <is>
          <t>PROPELG VI comm recd {DDMMYY}</t>
        </is>
      </c>
      <c r="G8" s="23">
        <f>IF($E8="","",$E8/IF(ttAmountUnit="Paise",100,1))</f>
        <v/>
      </c>
    </row>
    <row r="9">
      <c r="A9" s="19" t="inlineStr">
        <is>
          <t>Yes</t>
        </is>
      </c>
      <c r="B9" s="20" t="inlineStr">
        <is>
          <t>MC GST on commission</t>
        </is>
      </c>
      <c r="C9" s="21" t="inlineStr">
        <is>
          <t>00993564610119</t>
        </is>
      </c>
      <c r="D9" s="19" t="inlineStr">
        <is>
          <t>C</t>
        </is>
      </c>
      <c r="E9" s="22" t="n"/>
      <c r="F9" s="20" t="inlineStr">
        <is>
          <t>PROPELG MC GST comm recd {DDMMYY}</t>
        </is>
      </c>
      <c r="G9" s="23">
        <f>IF($E9="","",$E9/IF(ttAmountUnit="Paise",100,1))</f>
        <v/>
      </c>
    </row>
    <row r="10">
      <c r="A10" s="19" t="inlineStr">
        <is>
          <t>Yes</t>
        </is>
      </c>
      <c r="B10" s="20" t="inlineStr">
        <is>
          <t>VI GST on commission</t>
        </is>
      </c>
      <c r="C10" s="21" t="inlineStr">
        <is>
          <t>00993564610122</t>
        </is>
      </c>
      <c r="D10" s="19" t="inlineStr">
        <is>
          <t>C</t>
        </is>
      </c>
      <c r="E10" s="22" t="n"/>
      <c r="F10" s="20" t="inlineStr">
        <is>
          <t>PROPELG VI GST comm recd {DDMMYY}</t>
        </is>
      </c>
      <c r="G10" s="23">
        <f>IF($E10="","",$E10/IF(ttAmountUnit="Paise",100,1))</f>
        <v/>
      </c>
    </row>
    <row r="11">
      <c r="A11" s="19" t="inlineStr">
        <is>
          <t>Yes</t>
        </is>
      </c>
      <c r="B11" s="20" t="inlineStr">
        <is>
          <t>MC Non-GST commission</t>
        </is>
      </c>
      <c r="C11" s="21" t="inlineStr">
        <is>
          <t>00993564610119</t>
        </is>
      </c>
      <c r="D11" s="19" t="inlineStr">
        <is>
          <t>C</t>
        </is>
      </c>
      <c r="E11" s="22" t="n"/>
      <c r="F11" s="20" t="inlineStr">
        <is>
          <t>PROPELG MC Non GST comm recd {DDMMYY}</t>
        </is>
      </c>
      <c r="G11" s="23">
        <f>IF($E11="","",$E11/IF(ttAmountUnit="Paise",100,1))</f>
        <v/>
      </c>
    </row>
    <row r="12">
      <c r="A12" s="19" t="inlineStr">
        <is>
          <t>Yes</t>
        </is>
      </c>
      <c r="B12" s="20" t="inlineStr">
        <is>
          <t>VI Non-GST commission</t>
        </is>
      </c>
      <c r="C12" s="21" t="inlineStr">
        <is>
          <t>00993564610122</t>
        </is>
      </c>
      <c r="D12" s="19" t="inlineStr">
        <is>
          <t>C</t>
        </is>
      </c>
      <c r="E12" s="22" t="n"/>
      <c r="F12" s="20" t="inlineStr">
        <is>
          <t>PROPELG VI Non GST comm recd {DDMMYY}</t>
        </is>
      </c>
      <c r="G12" s="23">
        <f>IF($E12="","",$E12/IF(ttAmountUnit="Paise",100,1))</f>
        <v/>
      </c>
    </row>
    <row r="13">
      <c r="A13" s="19" t="inlineStr">
        <is>
          <t>Yes</t>
        </is>
      </c>
      <c r="B13" s="20" t="inlineStr">
        <is>
          <t>Net settlement to Prp India</t>
        </is>
      </c>
      <c r="C13" s="21" t="inlineStr">
        <is>
          <t>200999103427</t>
        </is>
      </c>
      <c r="D13" s="19" t="inlineStr">
        <is>
          <t>C</t>
        </is>
      </c>
      <c r="E13" s="22" t="n"/>
      <c r="F13" s="20" t="inlineStr">
        <is>
          <t>PROPELG-TXN Prp India {DDMMYY} {DDMMYY}</t>
        </is>
      </c>
      <c r="G13" s="23">
        <f>IF($E13="","",$E13/IF(ttAmountUnit="Paise",100,1))</f>
        <v/>
      </c>
    </row>
    <row r="14">
      <c r="A14" s="19" t="n"/>
      <c r="B14" s="20" t="n"/>
      <c r="C14" s="21" t="n"/>
      <c r="D14" s="19" t="n"/>
      <c r="E14" s="22" t="n"/>
      <c r="F14" s="20" t="n"/>
      <c r="G14" s="23">
        <f>IF($E14="","",$E14/IF(ttAmountUnit="Paise",100,1))</f>
        <v/>
      </c>
    </row>
    <row r="15">
      <c r="A15" s="19" t="n"/>
      <c r="B15" s="20" t="n"/>
      <c r="C15" s="21" t="n"/>
      <c r="D15" s="19" t="n"/>
      <c r="E15" s="22" t="n"/>
      <c r="F15" s="20" t="n"/>
      <c r="G15" s="23">
        <f>IF($E15="","",$E15/IF(ttAmountUnit="Paise",100,1))</f>
        <v/>
      </c>
    </row>
    <row r="16">
      <c r="A16" s="19" t="n"/>
      <c r="B16" s="20" t="n"/>
      <c r="C16" s="21" t="n"/>
      <c r="D16" s="19" t="n"/>
      <c r="E16" s="22" t="n"/>
      <c r="F16" s="20" t="n"/>
      <c r="G16" s="23">
        <f>IF($E16="","",$E16/IF(ttAmountUnit="Paise",100,1))</f>
        <v/>
      </c>
    </row>
    <row r="17">
      <c r="A17" s="19" t="n"/>
      <c r="B17" s="20" t="n"/>
      <c r="C17" s="21" t="n"/>
      <c r="D17" s="19" t="n"/>
      <c r="E17" s="22" t="n"/>
      <c r="F17" s="20" t="n"/>
      <c r="G17" s="23">
        <f>IF($E17="","",$E17/IF(ttAmountUnit="Paise",100,1))</f>
        <v/>
      </c>
    </row>
    <row r="18">
      <c r="A18" s="19" t="n"/>
      <c r="B18" s="20" t="n"/>
      <c r="C18" s="21" t="n"/>
      <c r="D18" s="19" t="n"/>
      <c r="E18" s="22" t="n"/>
      <c r="F18" s="20" t="n"/>
      <c r="G18" s="23">
        <f>IF($E18="","",$E18/IF(ttAmountUnit="Paise",100,1))</f>
        <v/>
      </c>
    </row>
    <row r="19">
      <c r="A19" s="19" t="n"/>
      <c r="B19" s="20" t="n"/>
      <c r="C19" s="21" t="n"/>
      <c r="D19" s="19" t="n"/>
      <c r="E19" s="22" t="n"/>
      <c r="F19" s="20" t="n"/>
      <c r="G19" s="23">
        <f>IF($E19="","",$E19/IF(ttAmountUnit="Paise",100,1))</f>
        <v/>
      </c>
    </row>
    <row r="20">
      <c r="A20" s="19" t="n"/>
      <c r="B20" s="20" t="n"/>
      <c r="C20" s="21" t="n"/>
      <c r="D20" s="19" t="n"/>
      <c r="E20" s="22" t="n"/>
      <c r="F20" s="20" t="n"/>
      <c r="G20" s="23">
        <f>IF($E20="","",$E20/IF(ttAmountUnit="Paise",100,1))</f>
        <v/>
      </c>
    </row>
    <row r="21">
      <c r="A21" s="19" t="n"/>
      <c r="B21" s="20" t="n"/>
      <c r="C21" s="21" t="n"/>
      <c r="D21" s="19" t="n"/>
      <c r="E21" s="22" t="n"/>
      <c r="F21" s="20" t="n"/>
      <c r="G21" s="23">
        <f>IF($E21="","",$E21/IF(ttAmountUnit="Paise",100,1))</f>
        <v/>
      </c>
    </row>
    <row r="22">
      <c r="A22" s="19" t="n"/>
      <c r="B22" s="20" t="n"/>
      <c r="C22" s="21" t="n"/>
      <c r="D22" s="19" t="n"/>
      <c r="E22" s="22" t="n"/>
      <c r="F22" s="20" t="n"/>
      <c r="G22" s="23">
        <f>IF($E22="","",$E22/IF(ttAmountUnit="Paise",100,1))</f>
        <v/>
      </c>
    </row>
    <row r="23">
      <c r="A23" s="19" t="n"/>
      <c r="B23" s="20" t="n"/>
      <c r="C23" s="21" t="n"/>
      <c r="D23" s="19" t="n"/>
      <c r="E23" s="22" t="n"/>
      <c r="F23" s="20" t="n"/>
      <c r="G23" s="23">
        <f>IF($E23="","",$E23/IF(ttAmountUnit="Paise",100,1))</f>
        <v/>
      </c>
    </row>
    <row r="24">
      <c r="A24" s="19" t="n"/>
      <c r="B24" s="20" t="n"/>
      <c r="C24" s="21" t="n"/>
      <c r="D24" s="19" t="n"/>
      <c r="E24" s="22" t="n"/>
      <c r="F24" s="20" t="n"/>
      <c r="G24" s="23">
        <f>IF($E24="","",$E24/IF(ttAmountUnit="Paise",100,1))</f>
        <v/>
      </c>
    </row>
    <row r="25">
      <c r="A25" s="19" t="n"/>
      <c r="B25" s="20" t="n"/>
      <c r="C25" s="21" t="n"/>
      <c r="D25" s="19" t="n"/>
      <c r="E25" s="22" t="n"/>
      <c r="F25" s="20" t="n"/>
      <c r="G25" s="23">
        <f>IF($E25="","",$E25/IF(ttAmountUnit="Paise",100,1))</f>
        <v/>
      </c>
    </row>
    <row r="26">
      <c r="A26" s="19" t="n"/>
      <c r="B26" s="20" t="n"/>
      <c r="C26" s="21" t="n"/>
      <c r="D26" s="19" t="n"/>
      <c r="E26" s="22" t="n"/>
      <c r="F26" s="20" t="n"/>
      <c r="G26" s="23">
        <f>IF($E26="","",$E26/IF(ttAmountUnit="Paise",100,1))</f>
        <v/>
      </c>
    </row>
    <row r="27">
      <c r="A27" s="19" t="n"/>
      <c r="B27" s="20" t="n"/>
      <c r="C27" s="21" t="n"/>
      <c r="D27" s="19" t="n"/>
      <c r="E27" s="22" t="n"/>
      <c r="F27" s="20" t="n"/>
      <c r="G27" s="23">
        <f>IF($E27="","",$E27/IF(ttAmountUnit="Paise",100,1))</f>
        <v/>
      </c>
    </row>
    <row r="28">
      <c r="A28" s="19" t="n"/>
      <c r="B28" s="20" t="n"/>
      <c r="C28" s="21" t="n"/>
      <c r="D28" s="19" t="n"/>
      <c r="E28" s="22" t="n"/>
      <c r="F28" s="20" t="n"/>
      <c r="G28" s="23">
        <f>IF($E28="","",$E28/IF(ttAmountUnit="Paise",100,1))</f>
        <v/>
      </c>
    </row>
    <row r="29">
      <c r="A29" s="19" t="n"/>
      <c r="B29" s="20" t="n"/>
      <c r="C29" s="21" t="n"/>
      <c r="D29" s="19" t="n"/>
      <c r="E29" s="22" t="n"/>
      <c r="F29" s="20" t="n"/>
      <c r="G29" s="23">
        <f>IF($E29="","",$E29/IF(ttAmountUnit="Paise",100,1))</f>
        <v/>
      </c>
    </row>
    <row r="30">
      <c r="A30" s="19" t="n"/>
      <c r="B30" s="20" t="n"/>
      <c r="C30" s="21" t="n"/>
      <c r="D30" s="19" t="n"/>
      <c r="E30" s="22" t="n"/>
      <c r="F30" s="20" t="n"/>
      <c r="G30" s="23">
        <f>IF($E30="","",$E30/IF(ttAmountUnit="Paise",100,1))</f>
        <v/>
      </c>
    </row>
    <row r="31">
      <c r="A31" s="19" t="n"/>
      <c r="B31" s="20" t="n"/>
      <c r="C31" s="21" t="n"/>
      <c r="D31" s="19" t="n"/>
      <c r="E31" s="22" t="n"/>
      <c r="F31" s="20" t="n"/>
      <c r="G31" s="23">
        <f>IF($E31="","",$E31/IF(ttAmountUnit="Paise",100,1))</f>
        <v/>
      </c>
    </row>
    <row r="32">
      <c r="A32" s="19" t="n"/>
      <c r="B32" s="20" t="n"/>
      <c r="C32" s="21" t="n"/>
      <c r="D32" s="19" t="n"/>
      <c r="E32" s="22" t="n"/>
      <c r="F32" s="20" t="n"/>
      <c r="G32" s="23">
        <f>IF($E32="","",$E32/IF(ttAmountUnit="Paise",100,1))</f>
        <v/>
      </c>
    </row>
    <row r="33">
      <c r="A33" s="19" t="n"/>
      <c r="B33" s="20" t="n"/>
      <c r="C33" s="21" t="n"/>
      <c r="D33" s="19" t="n"/>
      <c r="E33" s="22" t="n"/>
      <c r="F33" s="20" t="n"/>
      <c r="G33" s="23">
        <f>IF($E33="","",$E33/IF(ttAmountUnit="Paise",100,1))</f>
        <v/>
      </c>
    </row>
    <row r="34">
      <c r="A34" s="19" t="n"/>
      <c r="B34" s="20" t="n"/>
      <c r="C34" s="21" t="n"/>
      <c r="D34" s="19" t="n"/>
      <c r="E34" s="22" t="n"/>
      <c r="F34" s="20" t="n"/>
      <c r="G34" s="23">
        <f>IF($E34="","",$E34/IF(ttAmountUnit="Paise",100,1))</f>
        <v/>
      </c>
    </row>
    <row r="35">
      <c r="A35" s="19" t="n"/>
      <c r="B35" s="20" t="n"/>
      <c r="C35" s="21" t="n"/>
      <c r="D35" s="19" t="n"/>
      <c r="E35" s="22" t="n"/>
      <c r="F35" s="20" t="n"/>
      <c r="G35" s="23">
        <f>IF($E35="","",$E35/IF(ttAmountUnit="Paise",100,1))</f>
        <v/>
      </c>
    </row>
    <row r="36">
      <c r="A36" s="19" t="n"/>
      <c r="B36" s="20" t="n"/>
      <c r="C36" s="21" t="n"/>
      <c r="D36" s="19" t="n"/>
      <c r="E36" s="22" t="n"/>
      <c r="F36" s="20" t="n"/>
      <c r="G36" s="23">
        <f>IF($E36="","",$E36/IF(ttAmountUnit="Paise",100,1))</f>
        <v/>
      </c>
    </row>
    <row r="37">
      <c r="A37" s="19" t="n"/>
      <c r="B37" s="20" t="n"/>
      <c r="C37" s="21" t="n"/>
      <c r="D37" s="19" t="n"/>
      <c r="E37" s="22" t="n"/>
      <c r="F37" s="20" t="n"/>
      <c r="G37" s="23">
        <f>IF($E37="","",$E37/IF(ttAmountUnit="Paise",100,1))</f>
        <v/>
      </c>
    </row>
    <row r="38">
      <c r="A38" s="19" t="n"/>
      <c r="B38" s="20" t="n"/>
      <c r="C38" s="21" t="n"/>
      <c r="D38" s="19" t="n"/>
      <c r="E38" s="22" t="n"/>
      <c r="F38" s="20" t="n"/>
      <c r="G38" s="23">
        <f>IF($E38="","",$E38/IF(ttAmountUnit="Paise",100,1))</f>
        <v/>
      </c>
    </row>
    <row r="39">
      <c r="A39" s="19" t="n"/>
      <c r="B39" s="20" t="n"/>
      <c r="C39" s="21" t="n"/>
      <c r="D39" s="19" t="n"/>
      <c r="E39" s="22" t="n"/>
      <c r="F39" s="20" t="n"/>
      <c r="G39" s="23">
        <f>IF($E39="","",$E39/IF(ttAmountUnit="Paise",100,1))</f>
        <v/>
      </c>
    </row>
    <row r="40">
      <c r="A40" s="19" t="n"/>
      <c r="B40" s="20" t="n"/>
      <c r="C40" s="21" t="n"/>
      <c r="D40" s="19" t="n"/>
      <c r="E40" s="22" t="n"/>
      <c r="F40" s="20" t="n"/>
      <c r="G40" s="23">
        <f>IF($E40="","",$E40/IF(ttAmountUnit="Paise",100,1))</f>
        <v/>
      </c>
    </row>
    <row r="41">
      <c r="A41" s="19" t="n"/>
      <c r="B41" s="20" t="n"/>
      <c r="C41" s="21" t="n"/>
      <c r="D41" s="19" t="n"/>
      <c r="E41" s="22" t="n"/>
      <c r="F41" s="20" t="n"/>
      <c r="G41" s="23">
        <f>IF($E41="","",$E41/IF(ttAmountUnit="Paise",100,1))</f>
        <v/>
      </c>
    </row>
    <row r="42">
      <c r="A42" s="19" t="n"/>
      <c r="B42" s="20" t="n"/>
      <c r="C42" s="21" t="n"/>
      <c r="D42" s="19" t="n"/>
      <c r="E42" s="22" t="n"/>
      <c r="F42" s="20" t="n"/>
      <c r="G42" s="23">
        <f>IF($E42="","",$E42/IF(ttAmountUnit="Paise",100,1))</f>
        <v/>
      </c>
    </row>
    <row r="43">
      <c r="A43" s="19" t="n"/>
      <c r="B43" s="20" t="n"/>
      <c r="C43" s="21" t="n"/>
      <c r="D43" s="19" t="n"/>
      <c r="E43" s="22" t="n"/>
      <c r="F43" s="20" t="n"/>
      <c r="G43" s="23">
        <f>IF($E43="","",$E43/IF(ttAmountUnit="Paise",100,1))</f>
        <v/>
      </c>
    </row>
    <row r="44">
      <c r="A44" s="19" t="n"/>
      <c r="B44" s="20" t="n"/>
      <c r="C44" s="21" t="n"/>
      <c r="D44" s="19" t="n"/>
      <c r="E44" s="22" t="n"/>
      <c r="F44" s="20" t="n"/>
      <c r="G44" s="23">
        <f>IF($E44="","",$E44/IF(ttAmountUnit="Paise",100,1))</f>
        <v/>
      </c>
    </row>
    <row r="45">
      <c r="A45" s="19" t="n"/>
      <c r="B45" s="20" t="n"/>
      <c r="C45" s="21" t="n"/>
      <c r="D45" s="19" t="n"/>
      <c r="E45" s="22" t="n"/>
      <c r="F45" s="20" t="n"/>
      <c r="G45" s="23">
        <f>IF($E45="","",$E45/IF(ttAmountUnit="Paise",100,1))</f>
        <v/>
      </c>
    </row>
    <row r="46">
      <c r="A46" s="19" t="n"/>
      <c r="B46" s="20" t="n"/>
      <c r="C46" s="21" t="n"/>
      <c r="D46" s="19" t="n"/>
      <c r="E46" s="22" t="n"/>
      <c r="F46" s="20" t="n"/>
      <c r="G46" s="23">
        <f>IF($E46="","",$E46/IF(ttAmountUnit="Paise",100,1))</f>
        <v/>
      </c>
    </row>
    <row r="47">
      <c r="A47" s="19" t="n"/>
      <c r="B47" s="20" t="n"/>
      <c r="C47" s="21" t="n"/>
      <c r="D47" s="19" t="n"/>
      <c r="E47" s="22" t="n"/>
      <c r="F47" s="20" t="n"/>
      <c r="G47" s="23">
        <f>IF($E47="","",$E47/IF(ttAmountUnit="Paise",100,1))</f>
        <v/>
      </c>
    </row>
    <row r="48">
      <c r="A48" s="19" t="n"/>
      <c r="B48" s="20" t="n"/>
      <c r="C48" s="21" t="n"/>
      <c r="D48" s="19" t="n"/>
      <c r="E48" s="22" t="n"/>
      <c r="F48" s="20" t="n"/>
      <c r="G48" s="23">
        <f>IF($E48="","",$E48/IF(ttAmountUnit="Paise",100,1))</f>
        <v/>
      </c>
    </row>
    <row r="49">
      <c r="A49" s="19" t="n"/>
      <c r="B49" s="20" t="n"/>
      <c r="C49" s="21" t="n"/>
      <c r="D49" s="19" t="n"/>
      <c r="E49" s="22" t="n"/>
      <c r="F49" s="20" t="n"/>
      <c r="G49" s="23">
        <f>IF($E49="","",$E49/IF(ttAmountUnit="Paise",100,1))</f>
        <v/>
      </c>
    </row>
    <row r="50">
      <c r="A50" s="19" t="n"/>
      <c r="B50" s="20" t="n"/>
      <c r="C50" s="21" t="n"/>
      <c r="D50" s="19" t="n"/>
      <c r="E50" s="22" t="n"/>
      <c r="F50" s="20" t="n"/>
      <c r="G50" s="23">
        <f>IF($E50="","",$E50/IF(ttAmountUnit="Paise",100,1))</f>
        <v/>
      </c>
    </row>
    <row r="51">
      <c r="A51" s="19" t="n"/>
      <c r="B51" s="20" t="n"/>
      <c r="C51" s="21" t="n"/>
      <c r="D51" s="19" t="n"/>
      <c r="E51" s="22" t="n"/>
      <c r="F51" s="20" t="n"/>
      <c r="G51" s="23">
        <f>IF($E51="","",$E51/IF(ttAmountUnit="Paise",100,1))</f>
        <v/>
      </c>
    </row>
    <row r="52">
      <c r="A52" s="19" t="n"/>
      <c r="B52" s="20" t="n"/>
      <c r="C52" s="21" t="n"/>
      <c r="D52" s="19" t="n"/>
      <c r="E52" s="22" t="n"/>
      <c r="F52" s="20" t="n"/>
      <c r="G52" s="23">
        <f>IF($E52="","",$E52/IF(ttAmountUnit="Paise",100,1))</f>
        <v/>
      </c>
    </row>
    <row r="53">
      <c r="A53" s="19" t="n"/>
      <c r="B53" s="20" t="n"/>
      <c r="C53" s="21" t="n"/>
      <c r="D53" s="19" t="n"/>
      <c r="E53" s="22" t="n"/>
      <c r="F53" s="20" t="n"/>
      <c r="G53" s="23">
        <f>IF($E53="","",$E53/IF(ttAmountUnit="Paise",100,1))</f>
        <v/>
      </c>
    </row>
    <row r="54">
      <c r="A54" s="19" t="n"/>
      <c r="B54" s="20" t="n"/>
      <c r="C54" s="21" t="n"/>
      <c r="D54" s="19" t="n"/>
      <c r="E54" s="22" t="n"/>
      <c r="F54" s="20" t="n"/>
      <c r="G54" s="23">
        <f>IF($E54="","",$E54/IF(ttAmountUnit="Paise",100,1))</f>
        <v/>
      </c>
    </row>
    <row r="55">
      <c r="A55" s="19" t="n"/>
      <c r="B55" s="20" t="n"/>
      <c r="C55" s="21" t="n"/>
      <c r="D55" s="19" t="n"/>
      <c r="E55" s="22" t="n"/>
      <c r="F55" s="20" t="n"/>
      <c r="G55" s="23">
        <f>IF($E55="","",$E55/IF(ttAmountUnit="Paise",100,1))</f>
        <v/>
      </c>
    </row>
    <row r="56">
      <c r="A56" s="19" t="n"/>
      <c r="B56" s="20" t="n"/>
      <c r="C56" s="21" t="n"/>
      <c r="D56" s="19" t="n"/>
      <c r="E56" s="22" t="n"/>
      <c r="F56" s="20" t="n"/>
      <c r="G56" s="23">
        <f>IF($E56="","",$E56/IF(ttAmountUnit="Paise",100,1))</f>
        <v/>
      </c>
    </row>
    <row r="57">
      <c r="A57" s="19" t="n"/>
      <c r="B57" s="20" t="n"/>
      <c r="C57" s="21" t="n"/>
      <c r="D57" s="19" t="n"/>
      <c r="E57" s="22" t="n"/>
      <c r="F57" s="20" t="n"/>
      <c r="G57" s="23">
        <f>IF($E57="","",$E57/IF(ttAmountUnit="Paise",100,1))</f>
        <v/>
      </c>
    </row>
    <row r="58">
      <c r="A58" s="19" t="n"/>
      <c r="B58" s="20" t="n"/>
      <c r="C58" s="21" t="n"/>
      <c r="D58" s="19" t="n"/>
      <c r="E58" s="22" t="n"/>
      <c r="F58" s="20" t="n"/>
      <c r="G58" s="23">
        <f>IF($E58="","",$E58/IF(ttAmountUnit="Paise",100,1))</f>
        <v/>
      </c>
    </row>
    <row r="59">
      <c r="A59" s="19" t="n"/>
      <c r="B59" s="20" t="n"/>
      <c r="C59" s="21" t="n"/>
      <c r="D59" s="19" t="n"/>
      <c r="E59" s="22" t="n"/>
      <c r="F59" s="20" t="n"/>
      <c r="G59" s="23">
        <f>IF($E59="","",$E59/IF(ttAmountUnit="Paise",100,1))</f>
        <v/>
      </c>
    </row>
    <row r="60">
      <c r="A60" s="19" t="n"/>
      <c r="B60" s="20" t="n"/>
      <c r="C60" s="21" t="n"/>
      <c r="D60" s="19" t="n"/>
      <c r="E60" s="22" t="n"/>
      <c r="F60" s="20" t="n"/>
      <c r="G60" s="23">
        <f>IF($E60="","",$E60/IF(ttAmountUnit="Paise",100,1))</f>
        <v/>
      </c>
    </row>
    <row r="61">
      <c r="A61" s="19" t="n"/>
      <c r="B61" s="20" t="n"/>
      <c r="C61" s="21" t="n"/>
      <c r="D61" s="19" t="n"/>
      <c r="E61" s="22" t="n"/>
      <c r="F61" s="20" t="n"/>
      <c r="G61" s="23">
        <f>IF($E61="","",$E61/IF(ttAmountUnit="Paise",100,1))</f>
        <v/>
      </c>
    </row>
    <row r="62">
      <c r="A62" s="19" t="n"/>
      <c r="B62" s="20" t="n"/>
      <c r="C62" s="21" t="n"/>
      <c r="D62" s="19" t="n"/>
      <c r="E62" s="22" t="n"/>
      <c r="F62" s="20" t="n"/>
      <c r="G62" s="23">
        <f>IF($E62="","",$E62/IF(ttAmountUnit="Paise",100,1))</f>
        <v/>
      </c>
    </row>
    <row r="63">
      <c r="A63" s="19" t="n"/>
      <c r="B63" s="20" t="n"/>
      <c r="C63" s="21" t="n"/>
      <c r="D63" s="19" t="n"/>
      <c r="E63" s="22" t="n"/>
      <c r="F63" s="20" t="n"/>
      <c r="G63" s="23">
        <f>IF($E63="","",$E63/IF(ttAmountUnit="Paise",100,1))</f>
        <v/>
      </c>
    </row>
    <row r="64">
      <c r="A64" s="19" t="n"/>
      <c r="B64" s="20" t="n"/>
      <c r="C64" s="21" t="n"/>
      <c r="D64" s="19" t="n"/>
      <c r="E64" s="22" t="n"/>
      <c r="F64" s="20" t="n"/>
      <c r="G64" s="23">
        <f>IF($E64="","",$E64/IF(ttAmountUnit="Paise",100,1))</f>
        <v/>
      </c>
    </row>
    <row r="65">
      <c r="A65" s="19" t="n"/>
      <c r="B65" s="20" t="n"/>
      <c r="C65" s="21" t="n"/>
      <c r="D65" s="19" t="n"/>
      <c r="E65" s="22" t="n"/>
      <c r="F65" s="20" t="n"/>
      <c r="G65" s="23">
        <f>IF($E65="","",$E65/IF(ttAmountUnit="Paise",100,1))</f>
        <v/>
      </c>
    </row>
    <row r="66">
      <c r="A66" s="19" t="n"/>
      <c r="B66" s="20" t="n"/>
      <c r="C66" s="21" t="n"/>
      <c r="D66" s="19" t="n"/>
      <c r="E66" s="22" t="n"/>
      <c r="F66" s="20" t="n"/>
      <c r="G66" s="23">
        <f>IF($E66="","",$E66/IF(ttAmountUnit="Paise",100,1))</f>
        <v/>
      </c>
    </row>
    <row r="67">
      <c r="A67" s="19" t="n"/>
      <c r="B67" s="20" t="n"/>
      <c r="C67" s="21" t="n"/>
      <c r="D67" s="19" t="n"/>
      <c r="E67" s="22" t="n"/>
      <c r="F67" s="20" t="n"/>
      <c r="G67" s="23">
        <f>IF($E67="","",$E67/IF(ttAmountUnit="Paise",100,1))</f>
        <v/>
      </c>
    </row>
    <row r="68">
      <c r="A68" s="19" t="n"/>
      <c r="B68" s="20" t="n"/>
      <c r="C68" s="21" t="n"/>
      <c r="D68" s="19" t="n"/>
      <c r="E68" s="22" t="n"/>
      <c r="F68" s="20" t="n"/>
      <c r="G68" s="23">
        <f>IF($E68="","",$E68/IF(ttAmountUnit="Paise",100,1))</f>
        <v/>
      </c>
    </row>
    <row r="69">
      <c r="A69" s="19" t="n"/>
      <c r="B69" s="20" t="n"/>
      <c r="C69" s="21" t="n"/>
      <c r="D69" s="19" t="n"/>
      <c r="E69" s="22" t="n"/>
      <c r="F69" s="20" t="n"/>
      <c r="G69" s="23">
        <f>IF($E69="","",$E69/IF(ttAmountUnit="Paise",100,1))</f>
        <v/>
      </c>
    </row>
    <row r="70">
      <c r="A70" s="19" t="n"/>
      <c r="B70" s="20" t="n"/>
      <c r="C70" s="21" t="n"/>
      <c r="D70" s="19" t="n"/>
      <c r="E70" s="22" t="n"/>
      <c r="F70" s="20" t="n"/>
      <c r="G70" s="23">
        <f>IF($E70="","",$E70/IF(ttAmountUnit="Paise",100,1))</f>
        <v/>
      </c>
    </row>
    <row r="71">
      <c r="A71" s="19" t="n"/>
      <c r="B71" s="20" t="n"/>
      <c r="C71" s="21" t="n"/>
      <c r="D71" s="19" t="n"/>
      <c r="E71" s="22" t="n"/>
      <c r="F71" s="20" t="n"/>
      <c r="G71" s="23">
        <f>IF($E71="","",$E71/IF(ttAmountUnit="Paise",100,1))</f>
        <v/>
      </c>
    </row>
    <row r="72">
      <c r="A72" s="19" t="n"/>
      <c r="B72" s="20" t="n"/>
      <c r="C72" s="21" t="n"/>
      <c r="D72" s="19" t="n"/>
      <c r="E72" s="22" t="n"/>
      <c r="F72" s="20" t="n"/>
      <c r="G72" s="23">
        <f>IF($E72="","",$E72/IF(ttAmountUnit="Paise",100,1))</f>
        <v/>
      </c>
    </row>
    <row r="73">
      <c r="A73" s="19" t="n"/>
      <c r="B73" s="20" t="n"/>
      <c r="C73" s="21" t="n"/>
      <c r="D73" s="19" t="n"/>
      <c r="E73" s="22" t="n"/>
      <c r="F73" s="20" t="n"/>
      <c r="G73" s="23">
        <f>IF($E73="","",$E73/IF(ttAmountUnit="Paise",100,1))</f>
        <v/>
      </c>
    </row>
    <row r="74">
      <c r="A74" s="19" t="n"/>
      <c r="B74" s="20" t="n"/>
      <c r="C74" s="21" t="n"/>
      <c r="D74" s="19" t="n"/>
      <c r="E74" s="22" t="n"/>
      <c r="F74" s="20" t="n"/>
      <c r="G74" s="23">
        <f>IF($E74="","",$E74/IF(ttAmountUnit="Paise",100,1))</f>
        <v/>
      </c>
    </row>
    <row r="75">
      <c r="A75" s="19" t="n"/>
      <c r="B75" s="20" t="n"/>
      <c r="C75" s="21" t="n"/>
      <c r="D75" s="19" t="n"/>
      <c r="E75" s="22" t="n"/>
      <c r="F75" s="20" t="n"/>
      <c r="G75" s="23">
        <f>IF($E75="","",$E75/IF(ttAmountUnit="Paise",100,1))</f>
        <v/>
      </c>
    </row>
    <row r="76">
      <c r="A76" s="19" t="n"/>
      <c r="B76" s="20" t="n"/>
      <c r="C76" s="21" t="n"/>
      <c r="D76" s="19" t="n"/>
      <c r="E76" s="22" t="n"/>
      <c r="F76" s="20" t="n"/>
      <c r="G76" s="23">
        <f>IF($E76="","",$E76/IF(ttAmountUnit="Paise",100,1))</f>
        <v/>
      </c>
    </row>
    <row r="77">
      <c r="A77" s="19" t="n"/>
      <c r="B77" s="20" t="n"/>
      <c r="C77" s="21" t="n"/>
      <c r="D77" s="19" t="n"/>
      <c r="E77" s="22" t="n"/>
      <c r="F77" s="20" t="n"/>
      <c r="G77" s="23">
        <f>IF($E77="","",$E77/IF(ttAmountUnit="Paise",100,1))</f>
        <v/>
      </c>
    </row>
    <row r="78">
      <c r="A78" s="19" t="n"/>
      <c r="B78" s="20" t="n"/>
      <c r="C78" s="21" t="n"/>
      <c r="D78" s="19" t="n"/>
      <c r="E78" s="22" t="n"/>
      <c r="F78" s="20" t="n"/>
      <c r="G78" s="23">
        <f>IF($E78="","",$E78/IF(ttAmountUnit="Paise",100,1))</f>
        <v/>
      </c>
    </row>
    <row r="79">
      <c r="A79" s="19" t="n"/>
      <c r="B79" s="20" t="n"/>
      <c r="C79" s="21" t="n"/>
      <c r="D79" s="19" t="n"/>
      <c r="E79" s="22" t="n"/>
      <c r="F79" s="20" t="n"/>
      <c r="G79" s="23">
        <f>IF($E79="","",$E79/IF(ttAmountUnit="Paise",100,1))</f>
        <v/>
      </c>
    </row>
    <row r="80">
      <c r="A80" s="19" t="n"/>
      <c r="B80" s="20" t="n"/>
      <c r="C80" s="21" t="n"/>
      <c r="D80" s="19" t="n"/>
      <c r="E80" s="22" t="n"/>
      <c r="F80" s="20" t="n"/>
      <c r="G80" s="23">
        <f>IF($E80="","",$E80/IF(ttAmountUnit="Paise",100,1))</f>
        <v/>
      </c>
    </row>
    <row r="81">
      <c r="A81" s="19" t="n"/>
      <c r="B81" s="20" t="n"/>
      <c r="C81" s="21" t="n"/>
      <c r="D81" s="19" t="n"/>
      <c r="E81" s="22" t="n"/>
      <c r="F81" s="20" t="n"/>
      <c r="G81" s="23">
        <f>IF($E81="","",$E81/IF(ttAmountUnit="Paise",100,1))</f>
        <v/>
      </c>
    </row>
    <row r="82">
      <c r="A82" s="19" t="n"/>
      <c r="B82" s="20" t="n"/>
      <c r="C82" s="21" t="n"/>
      <c r="D82" s="19" t="n"/>
      <c r="E82" s="22" t="n"/>
      <c r="F82" s="20" t="n"/>
      <c r="G82" s="23">
        <f>IF($E82="","",$E82/IF(ttAmountUnit="Paise",100,1))</f>
        <v/>
      </c>
    </row>
    <row r="83">
      <c r="A83" s="19" t="n"/>
      <c r="B83" s="20" t="n"/>
      <c r="C83" s="21" t="n"/>
      <c r="D83" s="19" t="n"/>
      <c r="E83" s="22" t="n"/>
      <c r="F83" s="20" t="n"/>
      <c r="G83" s="23">
        <f>IF($E83="","",$E83/IF(ttAmountUnit="Paise",100,1))</f>
        <v/>
      </c>
    </row>
    <row r="84">
      <c r="A84" s="19" t="n"/>
      <c r="B84" s="20" t="n"/>
      <c r="C84" s="21" t="n"/>
      <c r="D84" s="19" t="n"/>
      <c r="E84" s="22" t="n"/>
      <c r="F84" s="20" t="n"/>
      <c r="G84" s="23">
        <f>IF($E84="","",$E84/IF(ttAmountUnit="Paise",100,1))</f>
        <v/>
      </c>
    </row>
    <row r="85">
      <c r="A85" s="19" t="n"/>
      <c r="B85" s="20" t="n"/>
      <c r="C85" s="21" t="n"/>
      <c r="D85" s="19" t="n"/>
      <c r="E85" s="22" t="n"/>
      <c r="F85" s="20" t="n"/>
      <c r="G85" s="23">
        <f>IF($E85="","",$E85/IF(ttAmountUnit="Paise",100,1))</f>
        <v/>
      </c>
    </row>
    <row r="86">
      <c r="A86" s="19" t="n"/>
      <c r="B86" s="20" t="n"/>
      <c r="C86" s="21" t="n"/>
      <c r="D86" s="19" t="n"/>
      <c r="E86" s="22" t="n"/>
      <c r="F86" s="20" t="n"/>
      <c r="G86" s="23">
        <f>IF($E86="","",$E86/IF(ttAmountUnit="Paise",100,1))</f>
        <v/>
      </c>
    </row>
    <row r="87">
      <c r="A87" s="19" t="n"/>
      <c r="B87" s="20" t="n"/>
      <c r="C87" s="21" t="n"/>
      <c r="D87" s="19" t="n"/>
      <c r="E87" s="22" t="n"/>
      <c r="F87" s="20" t="n"/>
      <c r="G87" s="23">
        <f>IF($E87="","",$E87/IF(ttAmountUnit="Paise",100,1))</f>
        <v/>
      </c>
    </row>
    <row r="88">
      <c r="A88" s="19" t="n"/>
      <c r="B88" s="20" t="n"/>
      <c r="C88" s="21" t="n"/>
      <c r="D88" s="19" t="n"/>
      <c r="E88" s="22" t="n"/>
      <c r="F88" s="20" t="n"/>
      <c r="G88" s="23">
        <f>IF($E88="","",$E88/IF(ttAmountUnit="Paise",100,1))</f>
        <v/>
      </c>
    </row>
    <row r="89">
      <c r="A89" s="19" t="n"/>
      <c r="B89" s="20" t="n"/>
      <c r="C89" s="21" t="n"/>
      <c r="D89" s="19" t="n"/>
      <c r="E89" s="22" t="n"/>
      <c r="F89" s="20" t="n"/>
      <c r="G89" s="23">
        <f>IF($E89="","",$E89/IF(ttAmountUnit="Paise",100,1))</f>
        <v/>
      </c>
    </row>
    <row r="90">
      <c r="A90" s="19" t="n"/>
      <c r="B90" s="20" t="n"/>
      <c r="C90" s="21" t="n"/>
      <c r="D90" s="19" t="n"/>
      <c r="E90" s="22" t="n"/>
      <c r="F90" s="20" t="n"/>
      <c r="G90" s="23">
        <f>IF($E90="","",$E90/IF(ttAmountUnit="Paise",100,1))</f>
        <v/>
      </c>
    </row>
    <row r="91">
      <c r="A91" s="19" t="n"/>
      <c r="B91" s="20" t="n"/>
      <c r="C91" s="21" t="n"/>
      <c r="D91" s="19" t="n"/>
      <c r="E91" s="22" t="n"/>
      <c r="F91" s="20" t="n"/>
      <c r="G91" s="23">
        <f>IF($E91="","",$E91/IF(ttAmountUnit="Paise",100,1))</f>
        <v/>
      </c>
    </row>
    <row r="92">
      <c r="A92" s="19" t="n"/>
      <c r="B92" s="20" t="n"/>
      <c r="C92" s="21" t="n"/>
      <c r="D92" s="19" t="n"/>
      <c r="E92" s="22" t="n"/>
      <c r="F92" s="20" t="n"/>
      <c r="G92" s="23">
        <f>IF($E92="","",$E92/IF(ttAmountUnit="Paise",100,1))</f>
        <v/>
      </c>
    </row>
    <row r="93">
      <c r="A93" s="19" t="n"/>
      <c r="B93" s="20" t="n"/>
      <c r="C93" s="21" t="n"/>
      <c r="D93" s="19" t="n"/>
      <c r="E93" s="22" t="n"/>
      <c r="F93" s="20" t="n"/>
      <c r="G93" s="23">
        <f>IF($E93="","",$E93/IF(ttAmountUnit="Paise",100,1))</f>
        <v/>
      </c>
    </row>
    <row r="94">
      <c r="A94" s="19" t="n"/>
      <c r="B94" s="20" t="n"/>
      <c r="C94" s="21" t="n"/>
      <c r="D94" s="19" t="n"/>
      <c r="E94" s="22" t="n"/>
      <c r="F94" s="20" t="n"/>
      <c r="G94" s="23">
        <f>IF($E94="","",$E94/IF(ttAmountUnit="Paise",100,1))</f>
        <v/>
      </c>
    </row>
    <row r="95">
      <c r="A95" s="19" t="n"/>
      <c r="B95" s="20" t="n"/>
      <c r="C95" s="21" t="n"/>
      <c r="D95" s="19" t="n"/>
      <c r="E95" s="22" t="n"/>
      <c r="F95" s="20" t="n"/>
      <c r="G95" s="23">
        <f>IF($E95="","",$E95/IF(ttAmountUnit="Paise",100,1))</f>
        <v/>
      </c>
    </row>
    <row r="96">
      <c r="A96" s="19" t="n"/>
      <c r="B96" s="20" t="n"/>
      <c r="C96" s="21" t="n"/>
      <c r="D96" s="19" t="n"/>
      <c r="E96" s="22" t="n"/>
      <c r="F96" s="20" t="n"/>
      <c r="G96" s="23">
        <f>IF($E96="","",$E96/IF(ttAmountUnit="Paise",100,1))</f>
        <v/>
      </c>
    </row>
    <row r="97">
      <c r="A97" s="19" t="n"/>
      <c r="B97" s="20" t="n"/>
      <c r="C97" s="21" t="n"/>
      <c r="D97" s="19" t="n"/>
      <c r="E97" s="22" t="n"/>
      <c r="F97" s="20" t="n"/>
      <c r="G97" s="23">
        <f>IF($E97="","",$E97/IF(ttAmountUnit="Paise",100,1))</f>
        <v/>
      </c>
    </row>
    <row r="98">
      <c r="A98" s="19" t="n"/>
      <c r="B98" s="20" t="n"/>
      <c r="C98" s="21" t="n"/>
      <c r="D98" s="19" t="n"/>
      <c r="E98" s="22" t="n"/>
      <c r="F98" s="20" t="n"/>
      <c r="G98" s="23">
        <f>IF($E98="","",$E98/IF(ttAmountUnit="Paise",100,1))</f>
        <v/>
      </c>
    </row>
    <row r="99">
      <c r="A99" s="19" t="n"/>
      <c r="B99" s="20" t="n"/>
      <c r="C99" s="21" t="n"/>
      <c r="D99" s="19" t="n"/>
      <c r="E99" s="22" t="n"/>
      <c r="F99" s="20" t="n"/>
      <c r="G99" s="23">
        <f>IF($E99="","",$E99/IF(ttAmountUnit="Paise",100,1))</f>
        <v/>
      </c>
    </row>
    <row r="100">
      <c r="A100" s="19" t="n"/>
      <c r="B100" s="20" t="n"/>
      <c r="C100" s="21" t="n"/>
      <c r="D100" s="19" t="n"/>
      <c r="E100" s="22" t="n"/>
      <c r="F100" s="20" t="n"/>
      <c r="G100" s="23">
        <f>IF($E100="","",$E100/IF(ttAmountUnit="Paise",100,1))</f>
        <v/>
      </c>
    </row>
    <row r="101">
      <c r="A101" s="19" t="n"/>
      <c r="B101" s="20" t="n"/>
      <c r="C101" s="21" t="n"/>
      <c r="D101" s="19" t="n"/>
      <c r="E101" s="22" t="n"/>
      <c r="F101" s="20" t="n"/>
      <c r="G101" s="23">
        <f>IF($E101="","",$E101/IF(ttAmountUnit="Paise",100,1))</f>
        <v/>
      </c>
    </row>
    <row r="102">
      <c r="A102" s="19" t="n"/>
      <c r="B102" s="20" t="n"/>
      <c r="C102" s="21" t="n"/>
      <c r="D102" s="19" t="n"/>
      <c r="E102" s="22" t="n"/>
      <c r="F102" s="20" t="n"/>
      <c r="G102" s="23">
        <f>IF($E102="","",$E102/IF(ttAmountUnit="Paise",100,1))</f>
        <v/>
      </c>
    </row>
    <row r="103">
      <c r="A103" s="19" t="n"/>
      <c r="B103" s="20" t="n"/>
      <c r="C103" s="21" t="n"/>
      <c r="D103" s="19" t="n"/>
      <c r="E103" s="22" t="n"/>
      <c r="F103" s="20" t="n"/>
      <c r="G103" s="23">
        <f>IF($E103="","",$E103/IF(ttAmountUnit="Paise",100,1))</f>
        <v/>
      </c>
    </row>
    <row r="104">
      <c r="A104" s="19" t="n"/>
      <c r="B104" s="20" t="n"/>
      <c r="C104" s="21" t="n"/>
      <c r="D104" s="19" t="n"/>
      <c r="E104" s="22" t="n"/>
      <c r="F104" s="20" t="n"/>
      <c r="G104" s="23">
        <f>IF($E104="","",$E104/IF(ttAmountUnit="Paise",100,1))</f>
        <v/>
      </c>
    </row>
    <row r="106">
      <c r="A106" s="13" t="inlineStr">
        <is>
          <t>Amount as keyed: with Config set to Paise (the default), type the figure exactly as the settlement report shows it - the last two digits are the paise, so 47400 is 474.00. The Reads as (INR) column shows how each figure will be understood. Narration tokens {DDMMYY} {DDMMYYYY} {DD} {MM} {YY} {YYYY} are replaced with the value date; the narration must fit 35 characters after substitution.</t>
        </is>
      </c>
    </row>
    <row r="107"/>
  </sheetData>
  <mergeCells count="4">
    <mergeCell ref="A106:G107"/>
    <mergeCell ref="A3:G3"/>
    <mergeCell ref="A2:G2"/>
    <mergeCell ref="A1:G1"/>
  </mergeCells>
  <conditionalFormatting sqref="A3:G3">
    <cfRule type="expression" priority="1" dxfId="0">
      <formula>$J$3&lt;&gt;0</formula>
    </cfRule>
    <cfRule type="expression" priority="2" dxfId="1">
      <formula>$J$3=0</formula>
    </cfRule>
  </conditionalFormatting>
  <dataValidations count="3">
    <dataValidation sqref="A5:A104" showDropDown="0" showInputMessage="0" showErrorMessage="1" allowBlank="1" errorTitle="Include?" error="Choose Yes to put this row in today's file, or No to leave it out." type="list">
      <formula1>"Yes,No"</formula1>
    </dataValidation>
    <dataValidation sqref="D5:D104" showDropDown="0" showInputMessage="0" showErrorMessage="1" allowBlank="1" errorTitle="Dr/Cr" error="Enter D for a debit or C for a credit." type="list">
      <formula1>"D,C"</formula1>
    </dataValidation>
    <dataValidation sqref="E5:E104" showDropDown="0" showInputMessage="0" showErrorMessage="1" allowBlank="1" errorTitle="Amount" error="Enter the amount as it appears on the settlement report." type="decimal" operator="greaterThan">
      <formula1>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Config">
    <outlinePr summaryBelow="1" summaryRight="1"/>
    <pageSetUpPr/>
  </sheetPr>
  <dimension ref="A1:D9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36" customWidth="1" min="2" max="2"/>
    <col width="32" customWidth="1" min="3" max="3"/>
    <col width="62" customWidth="1" min="4" max="4"/>
  </cols>
  <sheetData>
    <row r="1" ht="30" customHeight="1">
      <c r="A1" s="1" t="inlineStr">
        <is>
          <t xml:space="preserve">   CONFIG</t>
        </is>
      </c>
      <c r="B1" s="2" t="n"/>
      <c r="C1" s="2" t="n"/>
      <c r="D1" s="2" t="n"/>
    </row>
    <row r="2" ht="16" customHeight="1">
      <c r="A2" s="3" t="inlineStr">
        <is>
          <t xml:space="preserve">   Settings that rarely change. The daily inputs live on the Dashboard.</t>
        </is>
      </c>
      <c r="B2" s="2" t="n"/>
      <c r="C2" s="2" t="n"/>
      <c r="D2" s="2" t="n"/>
    </row>
    <row r="4">
      <c r="B4" s="24" t="inlineStr">
        <is>
          <t>Setting</t>
        </is>
      </c>
      <c r="C4" s="24" t="inlineStr">
        <is>
          <t>Value</t>
        </is>
      </c>
      <c r="D4" s="24" t="inlineStr">
        <is>
          <t>What it does</t>
        </is>
      </c>
    </row>
    <row r="5" ht="44" customHeight="1">
      <c r="B5" s="25" t="inlineStr">
        <is>
          <t>Amount column is entered as</t>
        </is>
      </c>
      <c r="C5" s="26" t="inlineStr">
        <is>
          <t>Paise</t>
        </is>
      </c>
      <c r="D5" s="13" t="inlineStr">
        <is>
          <t>Paise: the Amount column is the figure exactly as the settlement report shows it, with the last two digits being the paise, so 47400 means 474.00. Rupees: type 474.00 instead. The Reads as (INR) column on Entries shows the effect.</t>
        </is>
      </c>
    </row>
    <row r="6" ht="30" customHeight="1">
      <c r="B6" s="25" t="inlineStr">
        <is>
          <t>File name pattern</t>
        </is>
      </c>
      <c r="C6" s="26" t="inlineStr">
        <is>
          <t>PROPELG_TTUM_{DDMMYYYY}.txt</t>
        </is>
      </c>
      <c r="D6" s="13" t="inlineStr">
        <is>
          <t>Tokens are replaced with the file-name date shown on the Dashboard.</t>
        </is>
      </c>
    </row>
    <row r="7" ht="30" customHeight="1">
      <c r="B7" s="25" t="inlineStr">
        <is>
          <t>File-name date offset (days)</t>
        </is>
      </c>
      <c r="C7" s="26" t="n">
        <v>1</v>
      </c>
      <c r="D7" s="13" t="inlineStr">
        <is>
          <t>The bank sample is dated one day after the value date it carries, so this is 1. Set 0 to use the value date itself.</t>
        </is>
      </c>
    </row>
    <row r="8" ht="30" customHeight="1">
      <c r="B8" s="25" t="inlineStr">
        <is>
          <t>Block generation when out of balance</t>
        </is>
      </c>
      <c r="C8" s="26" t="inlineStr">
        <is>
          <t>Yes</t>
        </is>
      </c>
      <c r="D8" s="13" t="inlineStr">
        <is>
          <t>Yes stops the file when total debit does not equal total credit. No asks first and lets you continue.</t>
        </is>
      </c>
    </row>
    <row r="9" ht="30" customHeight="1">
      <c r="B9" s="25" t="inlineStr">
        <is>
          <t>Write a line break after the last record</t>
        </is>
      </c>
      <c r="C9" s="26" t="inlineStr">
        <is>
          <t>No</t>
        </is>
      </c>
      <c r="D9" s="13" t="inlineStr">
        <is>
          <t>No matches the bank's sample file, which ends immediately after the last record.</t>
        </is>
      </c>
    </row>
  </sheetData>
  <mergeCells count="2">
    <mergeCell ref="A1:D1"/>
    <mergeCell ref="A2:D2"/>
  </mergeCells>
  <dataValidations count="2">
    <dataValidation sqref="C5" showDropDown="0" showInputMessage="0" showErrorMessage="0" allowBlank="0" type="list">
      <formula1>"Paise,Rupees"</formula1>
    </dataValidation>
    <dataValidation sqref="C8:C9" showDropDown="0" showInputMessage="0" showErrorMessage="0" allowBlank="0" type="list">
      <formula1>"Yes,No"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Log">
    <outlinePr summaryBelow="1" summaryRight="1"/>
    <pageSetUpPr/>
  </sheetPr>
  <dimension ref="A1:J3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9" customWidth="1" min="1" max="1"/>
    <col width="14" customWidth="1" min="2" max="2"/>
    <col width="14" customWidth="1" min="3" max="3"/>
    <col width="30" customWidth="1" min="4" max="4"/>
    <col width="9" customWidth="1" min="5" max="5"/>
    <col width="14" customWidth="1" min="6" max="6"/>
    <col width="14" customWidth="1" min="7" max="7"/>
    <col width="16" customWidth="1" min="8" max="8"/>
    <col width="18" customWidth="1" min="9" max="9"/>
    <col width="60" customWidth="1" min="10" max="10"/>
  </cols>
  <sheetData>
    <row r="1" ht="30" customHeight="1">
      <c r="A1" s="1" t="inlineStr">
        <is>
          <t xml:space="preserve">   GENERATION LOG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</row>
    <row r="2" ht="16" customHeight="1">
      <c r="A2" s="3" t="inlineStr">
        <is>
          <t xml:space="preserve">   One row is added every time a file is written.</t>
        </is>
      </c>
      <c r="B2" s="2" t="n"/>
      <c r="C2" s="2" t="n"/>
      <c r="D2" s="2" t="n"/>
      <c r="E2" s="2" t="n"/>
      <c r="F2" s="2" t="n"/>
      <c r="G2" s="2" t="n"/>
      <c r="H2" s="2" t="n"/>
      <c r="I2" s="2" t="n"/>
      <c r="J2" s="2" t="n"/>
    </row>
    <row r="3">
      <c r="A3" s="24" t="inlineStr">
        <is>
          <t>Generated at</t>
        </is>
      </c>
      <c r="B3" s="24" t="inlineStr">
        <is>
          <t>Value date</t>
        </is>
      </c>
      <c r="C3" s="24" t="inlineStr">
        <is>
          <t>File date</t>
        </is>
      </c>
      <c r="D3" s="24" t="inlineStr">
        <is>
          <t>File name</t>
        </is>
      </c>
      <c r="E3" s="24" t="inlineStr">
        <is>
          <t>Records</t>
        </is>
      </c>
      <c r="F3" s="24" t="inlineStr">
        <is>
          <t>Total debit</t>
        </is>
      </c>
      <c r="G3" s="24" t="inlineStr">
        <is>
          <t>Total credit</t>
        </is>
      </c>
      <c r="H3" s="24" t="inlineStr">
        <is>
          <t>Balance</t>
        </is>
      </c>
      <c r="I3" s="24" t="inlineStr">
        <is>
          <t>User</t>
        </is>
      </c>
      <c r="J3" s="24" t="inlineStr">
        <is>
          <t>Full path</t>
        </is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Layout">
    <outlinePr summaryBelow="1" summaryRight="1"/>
    <pageSetUpPr/>
  </sheetPr>
  <dimension ref="A1:F25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8" customWidth="1" min="2" max="2"/>
    <col width="14" customWidth="1" min="3" max="3"/>
    <col width="24" customWidth="1" min="4" max="4"/>
    <col width="10" customWidth="1" min="5" max="5"/>
    <col width="60" customWidth="1" min="6" max="6"/>
  </cols>
  <sheetData>
    <row r="1" ht="30" customHeight="1">
      <c r="A1" s="1" t="inlineStr">
        <is>
          <t xml:space="preserve">   RECORD LAYOUT</t>
        </is>
      </c>
      <c r="B1" s="2" t="n"/>
      <c r="C1" s="2" t="n"/>
      <c r="D1" s="2" t="n"/>
      <c r="E1" s="2" t="n"/>
      <c r="F1" s="2" t="n"/>
    </row>
    <row r="2" ht="16" customHeight="1">
      <c r="A2" s="3" t="inlineStr">
        <is>
          <t xml:space="preserve">   Reference only - the macro builds every record to this layout.</t>
        </is>
      </c>
      <c r="B2" s="2" t="n"/>
      <c r="C2" s="2" t="n"/>
      <c r="D2" s="2" t="n"/>
      <c r="E2" s="2" t="n"/>
      <c r="F2" s="2" t="n"/>
    </row>
    <row r="4">
      <c r="B4" s="24" t="inlineStr">
        <is>
          <t>#</t>
        </is>
      </c>
      <c r="C4" s="24" t="inlineStr">
        <is>
          <t>Columns</t>
        </is>
      </c>
      <c r="D4" s="24" t="inlineStr">
        <is>
          <t>Field</t>
        </is>
      </c>
      <c r="E4" s="24" t="inlineStr">
        <is>
          <t>Length</t>
        </is>
      </c>
      <c r="F4" s="24" t="inlineStr">
        <is>
          <t>Content</t>
        </is>
      </c>
    </row>
    <row r="5">
      <c r="B5" s="27" t="n">
        <v>1</v>
      </c>
      <c r="C5" s="27" t="inlineStr">
        <is>
          <t>1-14</t>
        </is>
      </c>
      <c r="D5" s="27" t="inlineStr">
        <is>
          <t>Account number</t>
        </is>
      </c>
      <c r="E5" s="27" t="n">
        <v>14</v>
      </c>
      <c r="F5" s="28" t="inlineStr">
        <is>
          <t>Left justified, padded on the right with spaces.</t>
        </is>
      </c>
    </row>
    <row r="6">
      <c r="B6" s="27" t="n">
        <v>2</v>
      </c>
      <c r="C6" s="27" t="inlineStr">
        <is>
          <t>15-22</t>
        </is>
      </c>
      <c r="D6" s="27" t="inlineStr">
        <is>
          <t>Value date</t>
        </is>
      </c>
      <c r="E6" s="27" t="n">
        <v>8</v>
      </c>
      <c r="F6" s="28" t="inlineStr">
        <is>
          <t>DDMMYYYY.</t>
        </is>
      </c>
    </row>
    <row r="7">
      <c r="B7" s="27" t="n">
        <v>3</v>
      </c>
      <c r="C7" s="27" t="inlineStr">
        <is>
          <t>23-45</t>
        </is>
      </c>
      <c r="D7" s="27" t="inlineStr">
        <is>
          <t>Amount</t>
        </is>
      </c>
      <c r="E7" s="27" t="n">
        <v>23</v>
      </c>
      <c r="F7" s="28" t="inlineStr">
        <is>
          <t>Whole paise, padded on the left with zeros. 20000 means 200.00.</t>
        </is>
      </c>
    </row>
    <row r="8">
      <c r="B8" s="27" t="n">
        <v>4</v>
      </c>
      <c r="C8" s="27" t="inlineStr">
        <is>
          <t>46</t>
        </is>
      </c>
      <c r="D8" s="27" t="inlineStr">
        <is>
          <t>Transaction type</t>
        </is>
      </c>
      <c r="E8" s="27" t="n">
        <v>1</v>
      </c>
      <c r="F8" s="28" t="inlineStr">
        <is>
          <t>D for debit, C for credit.</t>
        </is>
      </c>
    </row>
    <row r="9">
      <c r="B9" s="27" t="n">
        <v>5</v>
      </c>
      <c r="C9" s="27" t="inlineStr">
        <is>
          <t>47-55</t>
        </is>
      </c>
      <c r="D9" s="27" t="inlineStr">
        <is>
          <t>Value date</t>
        </is>
      </c>
      <c r="E9" s="27" t="n">
        <v>9</v>
      </c>
      <c r="F9" s="28" t="inlineStr">
        <is>
          <t>The same date again as 0 + DDMMYYYY.</t>
        </is>
      </c>
    </row>
    <row r="10">
      <c r="B10" s="27" t="n">
        <v>6</v>
      </c>
      <c r="C10" s="27" t="inlineStr">
        <is>
          <t>56-81</t>
        </is>
      </c>
      <c r="D10" s="27" t="inlineStr">
        <is>
          <t>Filler</t>
        </is>
      </c>
      <c r="E10" s="27" t="n">
        <v>26</v>
      </c>
      <c r="F10" s="28" t="inlineStr">
        <is>
          <t>Spaces.</t>
        </is>
      </c>
    </row>
    <row r="11">
      <c r="B11" s="27" t="n">
        <v>7</v>
      </c>
      <c r="C11" s="27" t="inlineStr">
        <is>
          <t>82-116</t>
        </is>
      </c>
      <c r="D11" s="27" t="inlineStr">
        <is>
          <t>Narration</t>
        </is>
      </c>
      <c r="E11" s="27" t="n">
        <v>35</v>
      </c>
      <c r="F11" s="28" t="inlineStr">
        <is>
          <t>Left justified, padded on the right with spaces.</t>
        </is>
      </c>
    </row>
    <row r="12">
      <c r="B12" s="27" t="n">
        <v>8</v>
      </c>
      <c r="C12" s="27" t="inlineStr">
        <is>
          <t>117-186</t>
        </is>
      </c>
      <c r="D12" s="27" t="inlineStr">
        <is>
          <t>Filler</t>
        </is>
      </c>
      <c r="E12" s="27" t="n">
        <v>70</v>
      </c>
      <c r="F12" s="28" t="inlineStr">
        <is>
          <t>Spaces.</t>
        </is>
      </c>
    </row>
    <row r="13">
      <c r="D13" s="29" t="inlineStr">
        <is>
          <t>Total</t>
        </is>
      </c>
      <c r="E13" s="29" t="n">
        <v>186</v>
      </c>
      <c r="F13" s="9" t="inlineStr">
        <is>
          <t>Records are separated by CR LF.</t>
        </is>
      </c>
    </row>
    <row r="15">
      <c r="B15" s="14" t="inlineStr">
        <is>
          <t>Worked example - the bank's own file for value date 15-07-2026</t>
        </is>
      </c>
    </row>
    <row r="16">
      <c r="B16" s="9" t="inlineStr">
        <is>
          <t>Amounts below are that day's figures; each line is exactly 186 characters.</t>
        </is>
      </c>
    </row>
    <row r="17">
      <c r="B17" s="30" t="inlineStr">
        <is>
          <t xml:space="preserve">009935625117311507202600000000000000000020000D015072026                          PROPELG VI settlement 150726                                                                             </t>
        </is>
      </c>
    </row>
    <row r="18">
      <c r="B18" s="30" t="inlineStr">
        <is>
          <t xml:space="preserve">009935625117321507202600000000000000000030000D015072026                          PROPELG MC settlement 150726                                                                             </t>
        </is>
      </c>
    </row>
    <row r="19">
      <c r="B19" s="30" t="inlineStr">
        <is>
          <t xml:space="preserve">009935646101191507202600000000000000000001000C015072026                          PROPELG MC comm recd 150726                                                                              </t>
        </is>
      </c>
    </row>
    <row r="20">
      <c r="B20" s="30" t="inlineStr">
        <is>
          <t xml:space="preserve">009935646101221507202600000000000000000001000C015072026                          PROPELG VI comm recd 150726                                                                              </t>
        </is>
      </c>
    </row>
    <row r="21">
      <c r="B21" s="30" t="inlineStr">
        <is>
          <t xml:space="preserve">009935646101191507202600000000000000000000200C015072026                          PROPELG MC GST comm recd 150726                                                                          </t>
        </is>
      </c>
    </row>
    <row r="22">
      <c r="B22" s="30" t="inlineStr">
        <is>
          <t xml:space="preserve">009935646101221507202600000000000000000000200C015072026                          PROPELG VI GST comm recd 150726                                                                          </t>
        </is>
      </c>
    </row>
    <row r="23">
      <c r="B23" s="30" t="inlineStr">
        <is>
          <t xml:space="preserve">009935646101191507202600000000000000000000100C015072026                          PROPELG MC Non GST comm recd 150726                                                                      </t>
        </is>
      </c>
    </row>
    <row r="24">
      <c r="B24" s="30" t="inlineStr">
        <is>
          <t xml:space="preserve">009935646101221507202600000000000000000000100C015072026                          PROPELG VI Non GST comm recd 150726                                                                      </t>
        </is>
      </c>
    </row>
    <row r="25">
      <c r="B25" s="30" t="inlineStr">
        <is>
          <t xml:space="preserve">200999103427  1507202600000000000000000047400C015072026                          PROPELG-TXN Prp India 150726 150726                                                                      </t>
        </is>
      </c>
    </row>
  </sheetData>
  <mergeCells count="2">
    <mergeCell ref="A2:F2"/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2026-09-03T11:11:34Z</dcterms:created>
  <dcterms:modified xsi:type="dcterms:W3CDTF">2026-09-03T11:11:34Z</dcterms:modified>
</cp:coreProperties>
</file>