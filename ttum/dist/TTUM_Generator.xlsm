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Entries" sheetId="2" state="visible" r:id="rId2"/>
    <sheet name="Config" sheetId="3" state="visible" r:id="rId3"/>
    <sheet name="Log" sheetId="4" state="visible" r:id="rId4"/>
    <sheet name="Layout" sheetId="5" state="visible" r:id="rId5"/>
  </sheets>
  <definedNames>
    <definedName name="ttValueDate">Dashboard!$C$5</definedName>
    <definedName name="ttFileDate">Dashboard!$C$6</definedName>
    <definedName name="ttOutputFolder">Dashboard!$C$16</definedName>
    <definedName name="ttStatus">Dashboard!$B$21</definedName>
    <definedName name="ttFileNamePattern">Config!$C$5</definedName>
    <definedName name="ttFileDateOffset">Config!$C$6</definedName>
    <definedName name="ttEnforceBalance">Config!$C$7</definedName>
    <definedName name="ttTrailingNewline">Config!$C$8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-mmm-yyyy"/>
  </numFmts>
  <fonts count="14">
    <font>
      <name val="Calibri"/>
      <family val="2"/>
      <color theme="1"/>
      <sz val="11"/>
      <scheme val="minor"/>
    </font>
    <font>
      <name val="Calibri"/>
      <b val="1"/>
      <color rgb="00FFFFFF"/>
      <sz val="18"/>
    </font>
    <font>
      <name val="Calibri"/>
      <i val="1"/>
      <color rgb="00D6E0EA"/>
      <sz val="10"/>
    </font>
    <font>
      <name val="Calibri"/>
      <b val="1"/>
      <color rgb="001F3355"/>
      <sz val="11"/>
    </font>
    <font>
      <name val="Calibri"/>
      <color rgb="001F2937"/>
      <sz val="11"/>
    </font>
    <font>
      <name val="Calibri"/>
      <b val="1"/>
      <color rgb="001F2937"/>
      <sz val="11"/>
    </font>
    <font>
      <name val="Calibri"/>
      <i val="1"/>
      <color rgb="006B7280"/>
      <sz val="9"/>
    </font>
    <font>
      <name val="Calibri"/>
      <b val="1"/>
      <color rgb="00006E3C"/>
      <sz val="11"/>
    </font>
    <font>
      <name val="Calibri"/>
      <b val="1"/>
      <sz val="11"/>
    </font>
    <font>
      <b val="1"/>
      <sz val="10"/>
    </font>
    <font>
      <name val="Calibri"/>
      <b val="1"/>
      <color rgb="001F3355"/>
      <sz val="10"/>
    </font>
    <font>
      <name val="Calibri"/>
      <sz val="10"/>
    </font>
    <font>
      <sz val="10"/>
    </font>
    <font>
      <name val="Consolas"/>
      <sz val="10"/>
    </font>
  </fonts>
  <fills count="7">
    <fill>
      <patternFill/>
    </fill>
    <fill>
      <patternFill patternType="gray125"/>
    </fill>
    <fill>
      <patternFill patternType="solid">
        <fgColor rgb="001F3355"/>
      </patternFill>
    </fill>
    <fill>
      <patternFill patternType="solid">
        <fgColor rgb="00EEF2F7"/>
      </patternFill>
    </fill>
    <fill>
      <patternFill patternType="solid">
        <fgColor rgb="00FFF7DB"/>
      </patternFill>
    </fill>
    <fill>
      <patternFill patternType="solid">
        <fgColor rgb="00D9E2EC"/>
      </patternFill>
    </fill>
    <fill>
      <patternFill patternType="solid">
        <fgColor rgb="00FFFFFF"/>
      </patternFill>
    </fill>
  </fills>
  <borders count="2">
    <border>
      <left/>
      <right/>
      <top/>
      <bottom/>
      <diagonal/>
    </border>
    <border>
      <left style="thin">
        <color rgb="00BFCBD9"/>
      </left>
      <right style="thin">
        <color rgb="00BFCBD9"/>
      </right>
      <top style="thin">
        <color rgb="00BFCBD9"/>
      </top>
      <bottom style="thin">
        <color rgb="00BFCBD9"/>
      </bottom>
    </border>
  </borders>
  <cellStyleXfs count="1">
    <xf numFmtId="0" fontId="0" fillId="0" borderId="0"/>
  </cellStyleXfs>
  <cellXfs count="28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0" fillId="2" borderId="0" pivotButton="0" quotePrefix="0" xfId="0"/>
    <xf numFmtId="0" fontId="2" fillId="2" borderId="0" pivotButton="0" quotePrefix="0" xfId="0"/>
    <xf numFmtId="0" fontId="3" fillId="3" borderId="0" pivotButton="0" quotePrefix="0" xfId="0"/>
    <xf numFmtId="0" fontId="0" fillId="3" borderId="0" pivotButton="0" quotePrefix="0" xfId="0"/>
    <xf numFmtId="0" fontId="4" fillId="0" borderId="0" pivotButton="0" quotePrefix="0" xfId="0"/>
    <xf numFmtId="164" fontId="5" fillId="4" borderId="1" pivotButton="0" quotePrefix="0" xfId="0"/>
    <xf numFmtId="0" fontId="6" fillId="0" borderId="0" pivotButton="0" quotePrefix="0" xfId="0"/>
    <xf numFmtId="0" fontId="5" fillId="0" borderId="1" pivotButton="0" quotePrefix="0" xfId="0"/>
    <xf numFmtId="4" fontId="5" fillId="0" borderId="1" pivotButton="0" quotePrefix="0" xfId="0"/>
    <xf numFmtId="0" fontId="5" fillId="4" borderId="1" pivotButton="0" quotePrefix="0" xfId="0"/>
    <xf numFmtId="0" fontId="3" fillId="0" borderId="0" pivotButton="0" quotePrefix="0" xfId="0"/>
    <xf numFmtId="0" fontId="7" fillId="0" borderId="0" applyAlignment="1" pivotButton="0" quotePrefix="0" xfId="0">
      <alignment vertical="center"/>
    </xf>
    <xf numFmtId="4" fontId="9" fillId="0" borderId="0" pivotButton="0" quotePrefix="0" xfId="0"/>
    <xf numFmtId="0" fontId="8" fillId="0" borderId="0" applyAlignment="1" pivotButton="0" quotePrefix="0" xfId="0">
      <alignment vertical="center"/>
    </xf>
    <xf numFmtId="0" fontId="10" fillId="5" borderId="1" applyAlignment="1" pivotButton="0" quotePrefix="0" xfId="0">
      <alignment horizontal="center" vertical="center" wrapText="1"/>
    </xf>
    <xf numFmtId="0" fontId="11" fillId="6" borderId="1" applyAlignment="1" pivotButton="0" quotePrefix="0" xfId="0">
      <alignment horizontal="center"/>
    </xf>
    <xf numFmtId="0" fontId="11" fillId="6" borderId="1" pivotButton="0" quotePrefix="0" xfId="0"/>
    <xf numFmtId="49" fontId="11" fillId="6" borderId="1" applyAlignment="1" pivotButton="0" quotePrefix="0" xfId="0">
      <alignment horizontal="left"/>
    </xf>
    <xf numFmtId="4" fontId="11" fillId="4" borderId="1" pivotButton="0" quotePrefix="0" xfId="0"/>
    <xf numFmtId="0" fontId="10" fillId="5" borderId="1" pivotButton="0" quotePrefix="0" xfId="0"/>
    <xf numFmtId="0" fontId="4" fillId="0" borderId="1" pivotButton="0" quotePrefix="0" xfId="0"/>
    <xf numFmtId="0" fontId="6" fillId="0" borderId="0" applyAlignment="1" pivotButton="0" quotePrefix="0" xfId="0">
      <alignment vertical="top" wrapText="1"/>
    </xf>
    <xf numFmtId="0" fontId="12" fillId="0" borderId="1" pivotButton="0" quotePrefix="0" xfId="0"/>
    <xf numFmtId="0" fontId="12" fillId="0" borderId="1" applyAlignment="1" pivotButton="0" quotePrefix="0" xfId="0">
      <alignment vertical="top" wrapText="1"/>
    </xf>
    <xf numFmtId="0" fontId="10" fillId="0" borderId="0" pivotButton="0" quotePrefix="0" xfId="0"/>
    <xf numFmtId="0" fontId="13" fillId="0" borderId="0" pivotButton="0" quotePrefix="0" xfId="0"/>
  </cellXfs>
  <cellStyles count="1">
    <cellStyle name="Normal" xfId="0" builtinId="0" hidden="0"/>
  </cellStyles>
  <dxfs count="2">
    <dxf>
      <font>
        <b val="1"/>
        <color rgb="009C0006"/>
      </font>
      <fill>
        <patternFill patternType="solid">
          <fgColor rgb="00FFC7CE"/>
        </patternFill>
      </fill>
    </dxf>
    <dxf>
      <font>
        <b val="1"/>
        <color rgb="00006100"/>
      </font>
      <fill>
        <patternFill patternType="solid">
          <fgColor rgb="00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Dashboard">
    <outlinePr summaryBelow="1" summaryRight="1"/>
    <pageSetUpPr/>
  </sheetPr>
  <dimension ref="A1:H23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34" customWidth="1" min="2" max="2"/>
    <col width="30" customWidth="1" min="3" max="3"/>
    <col width="2.5" customWidth="1" min="4" max="4"/>
    <col width="2.5" customWidth="1" min="5" max="5"/>
    <col width="2.5" customWidth="1" min="6" max="6"/>
    <col width="2.5" customWidth="1" min="7" max="7"/>
    <col width="26" customWidth="1" min="8" max="8"/>
  </cols>
  <sheetData>
    <row r="1" ht="30" customHeight="1">
      <c r="A1" s="1" t="inlineStr">
        <is>
          <t xml:space="preserve">   TTUM GENERATOR</t>
        </is>
      </c>
      <c r="B1" s="2" t="n"/>
      <c r="C1" s="2" t="n"/>
      <c r="D1" s="2" t="n"/>
      <c r="E1" s="2" t="n"/>
      <c r="F1" s="2" t="n"/>
      <c r="G1" s="2" t="n"/>
      <c r="H1" s="2" t="n"/>
    </row>
    <row r="2" ht="16" customHeight="1">
      <c r="A2" s="3" t="inlineStr">
        <is>
          <t xml:space="preserve">   Enter the day's amounts on the Entries sheet, check the date, then click Generate.</t>
        </is>
      </c>
      <c r="B2" s="2" t="n"/>
      <c r="C2" s="2" t="n"/>
      <c r="D2" s="2" t="n"/>
      <c r="E2" s="2" t="n"/>
      <c r="F2" s="2" t="n"/>
      <c r="G2" s="2" t="n"/>
      <c r="H2" s="2" t="n"/>
    </row>
    <row r="4">
      <c r="B4" s="4" t="inlineStr">
        <is>
          <t>STEP 1   Set the date</t>
        </is>
      </c>
      <c r="C4" s="5" t="n"/>
    </row>
    <row r="5">
      <c r="B5" s="6" t="inlineStr">
        <is>
          <t>Value date  (goes into every record)</t>
        </is>
      </c>
      <c r="C5" s="7">
        <f>TODAY()</f>
        <v/>
      </c>
    </row>
    <row r="6">
      <c r="B6" s="6" t="inlineStr">
        <is>
          <t>File-name date  (Config: offset in days)</t>
        </is>
      </c>
      <c r="C6" s="7">
        <f>ttValueDate+ttFileDateOffset</f>
        <v/>
      </c>
    </row>
    <row r="7">
      <c r="B7" s="8" t="inlineStr">
        <is>
          <t>Today's date is filled in automatically. Type over it to build the file for another day.</t>
        </is>
      </c>
    </row>
    <row r="9">
      <c r="B9" s="4" t="inlineStr">
        <is>
          <t>STEP 2   Enter the amounts on the Entries sheet</t>
        </is>
      </c>
      <c r="C9" s="5" t="n"/>
    </row>
    <row r="10">
      <c r="B10" s="6" t="inlineStr">
        <is>
          <t>Rows included</t>
        </is>
      </c>
      <c r="C10" s="9">
        <f>COUNTIF(Entries!$A$5:$A$104,"Yes")</f>
        <v/>
      </c>
    </row>
    <row r="11">
      <c r="B11" s="6" t="inlineStr">
        <is>
          <t>Total debit</t>
        </is>
      </c>
      <c r="C11" s="10">
        <f>Entries!$I$1</f>
        <v/>
      </c>
    </row>
    <row r="12">
      <c r="B12" s="6" t="inlineStr">
        <is>
          <t>Total credit</t>
        </is>
      </c>
      <c r="C12" s="10">
        <f>Entries!$I$2</f>
        <v/>
      </c>
    </row>
    <row r="13">
      <c r="B13" s="6" t="inlineStr">
        <is>
          <t>Difference  (must be 0.00)</t>
        </is>
      </c>
      <c r="C13" s="10">
        <f>Entries!$I$3</f>
        <v/>
      </c>
    </row>
    <row r="15">
      <c r="B15" s="4" t="inlineStr">
        <is>
          <t>STEP 3   Generate</t>
        </is>
      </c>
      <c r="C15" s="5" t="n"/>
    </row>
    <row r="16">
      <c r="B16" s="6" t="inlineStr">
        <is>
          <t>Output folder</t>
        </is>
      </c>
      <c r="C16" s="11" t="n"/>
    </row>
    <row r="17">
      <c r="B17" s="8" t="inlineStr">
        <is>
          <t>Leave blank to write into a TTUM_Output folder next to this workbook.</t>
        </is>
      </c>
    </row>
    <row r="18">
      <c r="B18" s="6" t="inlineStr">
        <is>
          <t>File name</t>
        </is>
      </c>
      <c r="C18" s="9">
        <f>SUBSTITUTE(SUBSTITUTE(SUBSTITUTE(ttFileNamePattern,"{DDMMYYYY}",TEXT(ttFileDate,"ddmmyyyy")),"{DDMMYY}",TEXT(ttFileDate,"ddmmyy")),"{YYYY}",TEXT(ttFileDate,"yyyy"))</f>
        <v/>
      </c>
    </row>
    <row r="20">
      <c r="B20" s="12" t="inlineStr">
        <is>
          <t>Status</t>
        </is>
      </c>
    </row>
    <row r="21" ht="22" customHeight="1">
      <c r="B21" s="13" t="inlineStr">
        <is>
          <t>Ready.</t>
        </is>
      </c>
    </row>
    <row r="23">
      <c r="B23" s="8" t="inlineStr">
        <is>
          <t>If the buttons on the right are ever missing, press Alt+F8 and run TTUM_Setup. Every button is also available from that same Alt+F8 list.</t>
        </is>
      </c>
    </row>
  </sheetData>
  <mergeCells count="6">
    <mergeCell ref="A1:H1"/>
    <mergeCell ref="B7:C7"/>
    <mergeCell ref="B21:H21"/>
    <mergeCell ref="A2:H2"/>
    <mergeCell ref="B17:C17"/>
    <mergeCell ref="B23:H23"/>
  </mergeCells>
  <conditionalFormatting sqref="C13">
    <cfRule type="cellIs" priority="1" operator="notEqual" dxfId="0">
      <formula>0</formula>
    </cfRule>
    <cfRule type="cellIs" priority="2" operator="equal" dxfId="1">
      <formula>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ntries">
    <outlinePr summaryBelow="1" summaryRight="1"/>
    <pageSetUpPr/>
  </sheetPr>
  <dimension ref="A1:I10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min="1" max="1"/>
    <col width="30" customWidth="1" min="2" max="2"/>
    <col width="18" customWidth="1" min="3" max="3"/>
    <col width="9" customWidth="1" min="4" max="4"/>
    <col width="16" customWidth="1" min="5" max="5"/>
    <col width="44" customWidth="1" min="6" max="6"/>
    <col width="2.5" customWidth="1" min="7" max="7"/>
    <col width="16" customWidth="1" min="8" max="8"/>
    <col width="14" customWidth="1" min="9" max="9"/>
  </cols>
  <sheetData>
    <row r="1" ht="30" customHeight="1">
      <c r="A1" s="1" t="inlineStr">
        <is>
          <t xml:space="preserve">   DAILY TTUM ENTRIES</t>
        </is>
      </c>
      <c r="B1" s="2" t="n"/>
      <c r="C1" s="2" t="n"/>
      <c r="D1" s="2" t="n"/>
      <c r="E1" s="2" t="n"/>
      <c r="F1" s="2" t="n"/>
      <c r="H1" s="8" t="inlineStr">
        <is>
          <t>Total debit</t>
        </is>
      </c>
      <c r="I1" s="14">
        <f>SUMIFS($E$5:$E$104,$D$5:$D$104,"D",$A$5:$A$104,"Yes")</f>
        <v/>
      </c>
    </row>
    <row r="2" ht="16" customHeight="1">
      <c r="A2" s="3" t="inlineStr">
        <is>
          <t xml:space="preserve">   Type today's amount and Dr/Cr against each line. Blank rows are ignored.</t>
        </is>
      </c>
      <c r="B2" s="2" t="n"/>
      <c r="C2" s="2" t="n"/>
      <c r="D2" s="2" t="n"/>
      <c r="E2" s="2" t="n"/>
      <c r="F2" s="2" t="n"/>
      <c r="H2" s="8" t="inlineStr">
        <is>
          <t>Total credit</t>
        </is>
      </c>
      <c r="I2" s="14">
        <f>SUMIFS($E$5:$E$104,$D$5:$D$104,"C",$A$5:$A$104,"Yes")</f>
        <v/>
      </c>
    </row>
    <row r="3" ht="20" customHeight="1">
      <c r="A3" s="15">
        <f>"Total debit  "&amp;TEXT($I$1,"#,##0.00")&amp;"      Total credit  "&amp;TEXT($I$2,"#,##0.00")&amp;"      Difference  "&amp;TEXT($I$3,"#,##0.00")&amp;IF($I$3=0,"    (balanced)","    &lt;&lt;&lt; THESE MUST MATCH")</f>
        <v/>
      </c>
      <c r="H3" s="8" t="inlineStr">
        <is>
          <t>Difference</t>
        </is>
      </c>
      <c r="I3" s="14">
        <f>$I$1-$I$2</f>
        <v/>
      </c>
    </row>
    <row r="4" ht="28" customHeight="1">
      <c r="A4" s="16" t="inlineStr">
        <is>
          <t>Include</t>
        </is>
      </c>
      <c r="B4" s="16" t="inlineStr">
        <is>
          <t>Description</t>
        </is>
      </c>
      <c r="C4" s="16" t="inlineStr">
        <is>
          <t>Account Number</t>
        </is>
      </c>
      <c r="D4" s="16" t="inlineStr">
        <is>
          <t>Dr/Cr</t>
        </is>
      </c>
      <c r="E4" s="16" t="inlineStr">
        <is>
          <t>Amount (INR)</t>
        </is>
      </c>
      <c r="F4" s="16" t="inlineStr">
        <is>
          <t>Narration template</t>
        </is>
      </c>
    </row>
    <row r="5">
      <c r="A5" s="17" t="inlineStr">
        <is>
          <t>Yes</t>
        </is>
      </c>
      <c r="B5" s="18" t="inlineStr">
        <is>
          <t>VI settlement</t>
        </is>
      </c>
      <c r="C5" s="19" t="inlineStr">
        <is>
          <t>00993562511731</t>
        </is>
      </c>
      <c r="D5" s="17" t="inlineStr">
        <is>
          <t>D</t>
        </is>
      </c>
      <c r="E5" s="20" t="n"/>
      <c r="F5" s="18" t="inlineStr">
        <is>
          <t>PROPELG VI settlement {DDMMYY}</t>
        </is>
      </c>
    </row>
    <row r="6">
      <c r="A6" s="17" t="inlineStr">
        <is>
          <t>Yes</t>
        </is>
      </c>
      <c r="B6" s="18" t="inlineStr">
        <is>
          <t>MC settlement</t>
        </is>
      </c>
      <c r="C6" s="19" t="inlineStr">
        <is>
          <t>00993562511732</t>
        </is>
      </c>
      <c r="D6" s="17" t="inlineStr">
        <is>
          <t>D</t>
        </is>
      </c>
      <c r="E6" s="20" t="n"/>
      <c r="F6" s="18" t="inlineStr">
        <is>
          <t>PROPELG MC settlement {DDMMYY}</t>
        </is>
      </c>
    </row>
    <row r="7">
      <c r="A7" s="17" t="inlineStr">
        <is>
          <t>Yes</t>
        </is>
      </c>
      <c r="B7" s="18" t="inlineStr">
        <is>
          <t>MC commission received</t>
        </is>
      </c>
      <c r="C7" s="19" t="inlineStr">
        <is>
          <t>00993564610119</t>
        </is>
      </c>
      <c r="D7" s="17" t="inlineStr">
        <is>
          <t>C</t>
        </is>
      </c>
      <c r="E7" s="20" t="n"/>
      <c r="F7" s="18" t="inlineStr">
        <is>
          <t>PROPELG MC comm recd {DDMMYY}</t>
        </is>
      </c>
    </row>
    <row r="8">
      <c r="A8" s="17" t="inlineStr">
        <is>
          <t>Yes</t>
        </is>
      </c>
      <c r="B8" s="18" t="inlineStr">
        <is>
          <t>VI commission received</t>
        </is>
      </c>
      <c r="C8" s="19" t="inlineStr">
        <is>
          <t>00993564610122</t>
        </is>
      </c>
      <c r="D8" s="17" t="inlineStr">
        <is>
          <t>C</t>
        </is>
      </c>
      <c r="E8" s="20" t="n"/>
      <c r="F8" s="18" t="inlineStr">
        <is>
          <t>PROPELG VI comm recd {DDMMYY}</t>
        </is>
      </c>
    </row>
    <row r="9">
      <c r="A9" s="17" t="inlineStr">
        <is>
          <t>Yes</t>
        </is>
      </c>
      <c r="B9" s="18" t="inlineStr">
        <is>
          <t>MC GST on commission</t>
        </is>
      </c>
      <c r="C9" s="19" t="inlineStr">
        <is>
          <t>00993564610119</t>
        </is>
      </c>
      <c r="D9" s="17" t="inlineStr">
        <is>
          <t>C</t>
        </is>
      </c>
      <c r="E9" s="20" t="n"/>
      <c r="F9" s="18" t="inlineStr">
        <is>
          <t>PROPELG MC GST comm recd {DDMMYY}</t>
        </is>
      </c>
    </row>
    <row r="10">
      <c r="A10" s="17" t="inlineStr">
        <is>
          <t>Yes</t>
        </is>
      </c>
      <c r="B10" s="18" t="inlineStr">
        <is>
          <t>VI GST on commission</t>
        </is>
      </c>
      <c r="C10" s="19" t="inlineStr">
        <is>
          <t>00993564610122</t>
        </is>
      </c>
      <c r="D10" s="17" t="inlineStr">
        <is>
          <t>C</t>
        </is>
      </c>
      <c r="E10" s="20" t="n"/>
      <c r="F10" s="18" t="inlineStr">
        <is>
          <t>PROPELG VI GST comm recd {DDMMYY}</t>
        </is>
      </c>
    </row>
    <row r="11">
      <c r="A11" s="17" t="inlineStr">
        <is>
          <t>Yes</t>
        </is>
      </c>
      <c r="B11" s="18" t="inlineStr">
        <is>
          <t>MC Non-GST commission</t>
        </is>
      </c>
      <c r="C11" s="19" t="inlineStr">
        <is>
          <t>00993564610119</t>
        </is>
      </c>
      <c r="D11" s="17" t="inlineStr">
        <is>
          <t>C</t>
        </is>
      </c>
      <c r="E11" s="20" t="n"/>
      <c r="F11" s="18" t="inlineStr">
        <is>
          <t>PROPELG MC Non GST comm recd {DDMMYY}</t>
        </is>
      </c>
    </row>
    <row r="12">
      <c r="A12" s="17" t="inlineStr">
        <is>
          <t>Yes</t>
        </is>
      </c>
      <c r="B12" s="18" t="inlineStr">
        <is>
          <t>VI Non-GST commission</t>
        </is>
      </c>
      <c r="C12" s="19" t="inlineStr">
        <is>
          <t>00993564610122</t>
        </is>
      </c>
      <c r="D12" s="17" t="inlineStr">
        <is>
          <t>C</t>
        </is>
      </c>
      <c r="E12" s="20" t="n"/>
      <c r="F12" s="18" t="inlineStr">
        <is>
          <t>PROPELG VI Non GST comm recd {DDMMYY}</t>
        </is>
      </c>
    </row>
    <row r="13">
      <c r="A13" s="17" t="inlineStr">
        <is>
          <t>Yes</t>
        </is>
      </c>
      <c r="B13" s="18" t="inlineStr">
        <is>
          <t>Net settlement to Prp India</t>
        </is>
      </c>
      <c r="C13" s="19" t="inlineStr">
        <is>
          <t>200999103427</t>
        </is>
      </c>
      <c r="D13" s="17" t="inlineStr">
        <is>
          <t>C</t>
        </is>
      </c>
      <c r="E13" s="20" t="n"/>
      <c r="F13" s="18" t="inlineStr">
        <is>
          <t>PROPELG-TXN Prp India {DDMMYY} {DDMMYY}</t>
        </is>
      </c>
    </row>
    <row r="14">
      <c r="A14" s="17" t="n"/>
      <c r="B14" s="18" t="n"/>
      <c r="C14" s="19" t="n"/>
      <c r="D14" s="17" t="n"/>
      <c r="E14" s="20" t="n"/>
      <c r="F14" s="18" t="n"/>
    </row>
    <row r="15">
      <c r="A15" s="17" t="n"/>
      <c r="B15" s="18" t="n"/>
      <c r="C15" s="19" t="n"/>
      <c r="D15" s="17" t="n"/>
      <c r="E15" s="20" t="n"/>
      <c r="F15" s="18" t="n"/>
    </row>
    <row r="16">
      <c r="A16" s="17" t="n"/>
      <c r="B16" s="18" t="n"/>
      <c r="C16" s="19" t="n"/>
      <c r="D16" s="17" t="n"/>
      <c r="E16" s="20" t="n"/>
      <c r="F16" s="18" t="n"/>
    </row>
    <row r="17">
      <c r="A17" s="17" t="n"/>
      <c r="B17" s="18" t="n"/>
      <c r="C17" s="19" t="n"/>
      <c r="D17" s="17" t="n"/>
      <c r="E17" s="20" t="n"/>
      <c r="F17" s="18" t="n"/>
    </row>
    <row r="18">
      <c r="A18" s="17" t="n"/>
      <c r="B18" s="18" t="n"/>
      <c r="C18" s="19" t="n"/>
      <c r="D18" s="17" t="n"/>
      <c r="E18" s="20" t="n"/>
      <c r="F18" s="18" t="n"/>
    </row>
    <row r="19">
      <c r="A19" s="17" t="n"/>
      <c r="B19" s="18" t="n"/>
      <c r="C19" s="19" t="n"/>
      <c r="D19" s="17" t="n"/>
      <c r="E19" s="20" t="n"/>
      <c r="F19" s="18" t="n"/>
    </row>
    <row r="20">
      <c r="A20" s="17" t="n"/>
      <c r="B20" s="18" t="n"/>
      <c r="C20" s="19" t="n"/>
      <c r="D20" s="17" t="n"/>
      <c r="E20" s="20" t="n"/>
      <c r="F20" s="18" t="n"/>
    </row>
    <row r="21">
      <c r="A21" s="17" t="n"/>
      <c r="B21" s="18" t="n"/>
      <c r="C21" s="19" t="n"/>
      <c r="D21" s="17" t="n"/>
      <c r="E21" s="20" t="n"/>
      <c r="F21" s="18" t="n"/>
    </row>
    <row r="22">
      <c r="A22" s="17" t="n"/>
      <c r="B22" s="18" t="n"/>
      <c r="C22" s="19" t="n"/>
      <c r="D22" s="17" t="n"/>
      <c r="E22" s="20" t="n"/>
      <c r="F22" s="18" t="n"/>
    </row>
    <row r="23">
      <c r="A23" s="17" t="n"/>
      <c r="B23" s="18" t="n"/>
      <c r="C23" s="19" t="n"/>
      <c r="D23" s="17" t="n"/>
      <c r="E23" s="20" t="n"/>
      <c r="F23" s="18" t="n"/>
    </row>
    <row r="24">
      <c r="A24" s="17" t="n"/>
      <c r="B24" s="18" t="n"/>
      <c r="C24" s="19" t="n"/>
      <c r="D24" s="17" t="n"/>
      <c r="E24" s="20" t="n"/>
      <c r="F24" s="18" t="n"/>
    </row>
    <row r="25">
      <c r="A25" s="17" t="n"/>
      <c r="B25" s="18" t="n"/>
      <c r="C25" s="19" t="n"/>
      <c r="D25" s="17" t="n"/>
      <c r="E25" s="20" t="n"/>
      <c r="F25" s="18" t="n"/>
    </row>
    <row r="26">
      <c r="A26" s="17" t="n"/>
      <c r="B26" s="18" t="n"/>
      <c r="C26" s="19" t="n"/>
      <c r="D26" s="17" t="n"/>
      <c r="E26" s="20" t="n"/>
      <c r="F26" s="18" t="n"/>
    </row>
    <row r="27">
      <c r="A27" s="17" t="n"/>
      <c r="B27" s="18" t="n"/>
      <c r="C27" s="19" t="n"/>
      <c r="D27" s="17" t="n"/>
      <c r="E27" s="20" t="n"/>
      <c r="F27" s="18" t="n"/>
    </row>
    <row r="28">
      <c r="A28" s="17" t="n"/>
      <c r="B28" s="18" t="n"/>
      <c r="C28" s="19" t="n"/>
      <c r="D28" s="17" t="n"/>
      <c r="E28" s="20" t="n"/>
      <c r="F28" s="18" t="n"/>
    </row>
    <row r="29">
      <c r="A29" s="17" t="n"/>
      <c r="B29" s="18" t="n"/>
      <c r="C29" s="19" t="n"/>
      <c r="D29" s="17" t="n"/>
      <c r="E29" s="20" t="n"/>
      <c r="F29" s="18" t="n"/>
    </row>
    <row r="30">
      <c r="A30" s="17" t="n"/>
      <c r="B30" s="18" t="n"/>
      <c r="C30" s="19" t="n"/>
      <c r="D30" s="17" t="n"/>
      <c r="E30" s="20" t="n"/>
      <c r="F30" s="18" t="n"/>
    </row>
    <row r="31">
      <c r="A31" s="17" t="n"/>
      <c r="B31" s="18" t="n"/>
      <c r="C31" s="19" t="n"/>
      <c r="D31" s="17" t="n"/>
      <c r="E31" s="20" t="n"/>
      <c r="F31" s="18" t="n"/>
    </row>
    <row r="32">
      <c r="A32" s="17" t="n"/>
      <c r="B32" s="18" t="n"/>
      <c r="C32" s="19" t="n"/>
      <c r="D32" s="17" t="n"/>
      <c r="E32" s="20" t="n"/>
      <c r="F32" s="18" t="n"/>
    </row>
    <row r="33">
      <c r="A33" s="17" t="n"/>
      <c r="B33" s="18" t="n"/>
      <c r="C33" s="19" t="n"/>
      <c r="D33" s="17" t="n"/>
      <c r="E33" s="20" t="n"/>
      <c r="F33" s="18" t="n"/>
    </row>
    <row r="34">
      <c r="A34" s="17" t="n"/>
      <c r="B34" s="18" t="n"/>
      <c r="C34" s="19" t="n"/>
      <c r="D34" s="17" t="n"/>
      <c r="E34" s="20" t="n"/>
      <c r="F34" s="18" t="n"/>
    </row>
    <row r="35">
      <c r="A35" s="17" t="n"/>
      <c r="B35" s="18" t="n"/>
      <c r="C35" s="19" t="n"/>
      <c r="D35" s="17" t="n"/>
      <c r="E35" s="20" t="n"/>
      <c r="F35" s="18" t="n"/>
    </row>
    <row r="36">
      <c r="A36" s="17" t="n"/>
      <c r="B36" s="18" t="n"/>
      <c r="C36" s="19" t="n"/>
      <c r="D36" s="17" t="n"/>
      <c r="E36" s="20" t="n"/>
      <c r="F36" s="18" t="n"/>
    </row>
    <row r="37">
      <c r="A37" s="17" t="n"/>
      <c r="B37" s="18" t="n"/>
      <c r="C37" s="19" t="n"/>
      <c r="D37" s="17" t="n"/>
      <c r="E37" s="20" t="n"/>
      <c r="F37" s="18" t="n"/>
    </row>
    <row r="38">
      <c r="A38" s="17" t="n"/>
      <c r="B38" s="18" t="n"/>
      <c r="C38" s="19" t="n"/>
      <c r="D38" s="17" t="n"/>
      <c r="E38" s="20" t="n"/>
      <c r="F38" s="18" t="n"/>
    </row>
    <row r="39">
      <c r="A39" s="17" t="n"/>
      <c r="B39" s="18" t="n"/>
      <c r="C39" s="19" t="n"/>
      <c r="D39" s="17" t="n"/>
      <c r="E39" s="20" t="n"/>
      <c r="F39" s="18" t="n"/>
    </row>
    <row r="40">
      <c r="A40" s="17" t="n"/>
      <c r="B40" s="18" t="n"/>
      <c r="C40" s="19" t="n"/>
      <c r="D40" s="17" t="n"/>
      <c r="E40" s="20" t="n"/>
      <c r="F40" s="18" t="n"/>
    </row>
    <row r="41">
      <c r="A41" s="17" t="n"/>
      <c r="B41" s="18" t="n"/>
      <c r="C41" s="19" t="n"/>
      <c r="D41" s="17" t="n"/>
      <c r="E41" s="20" t="n"/>
      <c r="F41" s="18" t="n"/>
    </row>
    <row r="42">
      <c r="A42" s="17" t="n"/>
      <c r="B42" s="18" t="n"/>
      <c r="C42" s="19" t="n"/>
      <c r="D42" s="17" t="n"/>
      <c r="E42" s="20" t="n"/>
      <c r="F42" s="18" t="n"/>
    </row>
    <row r="43">
      <c r="A43" s="17" t="n"/>
      <c r="B43" s="18" t="n"/>
      <c r="C43" s="19" t="n"/>
      <c r="D43" s="17" t="n"/>
      <c r="E43" s="20" t="n"/>
      <c r="F43" s="18" t="n"/>
    </row>
    <row r="44">
      <c r="A44" s="17" t="n"/>
      <c r="B44" s="18" t="n"/>
      <c r="C44" s="19" t="n"/>
      <c r="D44" s="17" t="n"/>
      <c r="E44" s="20" t="n"/>
      <c r="F44" s="18" t="n"/>
    </row>
    <row r="45">
      <c r="A45" s="17" t="n"/>
      <c r="B45" s="18" t="n"/>
      <c r="C45" s="19" t="n"/>
      <c r="D45" s="17" t="n"/>
      <c r="E45" s="20" t="n"/>
      <c r="F45" s="18" t="n"/>
    </row>
    <row r="46">
      <c r="A46" s="17" t="n"/>
      <c r="B46" s="18" t="n"/>
      <c r="C46" s="19" t="n"/>
      <c r="D46" s="17" t="n"/>
      <c r="E46" s="20" t="n"/>
      <c r="F46" s="18" t="n"/>
    </row>
    <row r="47">
      <c r="A47" s="17" t="n"/>
      <c r="B47" s="18" t="n"/>
      <c r="C47" s="19" t="n"/>
      <c r="D47" s="17" t="n"/>
      <c r="E47" s="20" t="n"/>
      <c r="F47" s="18" t="n"/>
    </row>
    <row r="48">
      <c r="A48" s="17" t="n"/>
      <c r="B48" s="18" t="n"/>
      <c r="C48" s="19" t="n"/>
      <c r="D48" s="17" t="n"/>
      <c r="E48" s="20" t="n"/>
      <c r="F48" s="18" t="n"/>
    </row>
    <row r="49">
      <c r="A49" s="17" t="n"/>
      <c r="B49" s="18" t="n"/>
      <c r="C49" s="19" t="n"/>
      <c r="D49" s="17" t="n"/>
      <c r="E49" s="20" t="n"/>
      <c r="F49" s="18" t="n"/>
    </row>
    <row r="50">
      <c r="A50" s="17" t="n"/>
      <c r="B50" s="18" t="n"/>
      <c r="C50" s="19" t="n"/>
      <c r="D50" s="17" t="n"/>
      <c r="E50" s="20" t="n"/>
      <c r="F50" s="18" t="n"/>
    </row>
    <row r="51">
      <c r="A51" s="17" t="n"/>
      <c r="B51" s="18" t="n"/>
      <c r="C51" s="19" t="n"/>
      <c r="D51" s="17" t="n"/>
      <c r="E51" s="20" t="n"/>
      <c r="F51" s="18" t="n"/>
    </row>
    <row r="52">
      <c r="A52" s="17" t="n"/>
      <c r="B52" s="18" t="n"/>
      <c r="C52" s="19" t="n"/>
      <c r="D52" s="17" t="n"/>
      <c r="E52" s="20" t="n"/>
      <c r="F52" s="18" t="n"/>
    </row>
    <row r="53">
      <c r="A53" s="17" t="n"/>
      <c r="B53" s="18" t="n"/>
      <c r="C53" s="19" t="n"/>
      <c r="D53" s="17" t="n"/>
      <c r="E53" s="20" t="n"/>
      <c r="F53" s="18" t="n"/>
    </row>
    <row r="54">
      <c r="A54" s="17" t="n"/>
      <c r="B54" s="18" t="n"/>
      <c r="C54" s="19" t="n"/>
      <c r="D54" s="17" t="n"/>
      <c r="E54" s="20" t="n"/>
      <c r="F54" s="18" t="n"/>
    </row>
    <row r="55">
      <c r="A55" s="17" t="n"/>
      <c r="B55" s="18" t="n"/>
      <c r="C55" s="19" t="n"/>
      <c r="D55" s="17" t="n"/>
      <c r="E55" s="20" t="n"/>
      <c r="F55" s="18" t="n"/>
    </row>
    <row r="56">
      <c r="A56" s="17" t="n"/>
      <c r="B56" s="18" t="n"/>
      <c r="C56" s="19" t="n"/>
      <c r="D56" s="17" t="n"/>
      <c r="E56" s="20" t="n"/>
      <c r="F56" s="18" t="n"/>
    </row>
    <row r="57">
      <c r="A57" s="17" t="n"/>
      <c r="B57" s="18" t="n"/>
      <c r="C57" s="19" t="n"/>
      <c r="D57" s="17" t="n"/>
      <c r="E57" s="20" t="n"/>
      <c r="F57" s="18" t="n"/>
    </row>
    <row r="58">
      <c r="A58" s="17" t="n"/>
      <c r="B58" s="18" t="n"/>
      <c r="C58" s="19" t="n"/>
      <c r="D58" s="17" t="n"/>
      <c r="E58" s="20" t="n"/>
      <c r="F58" s="18" t="n"/>
    </row>
    <row r="59">
      <c r="A59" s="17" t="n"/>
      <c r="B59" s="18" t="n"/>
      <c r="C59" s="19" t="n"/>
      <c r="D59" s="17" t="n"/>
      <c r="E59" s="20" t="n"/>
      <c r="F59" s="18" t="n"/>
    </row>
    <row r="60">
      <c r="A60" s="17" t="n"/>
      <c r="B60" s="18" t="n"/>
      <c r="C60" s="19" t="n"/>
      <c r="D60" s="17" t="n"/>
      <c r="E60" s="20" t="n"/>
      <c r="F60" s="18" t="n"/>
    </row>
    <row r="61">
      <c r="A61" s="17" t="n"/>
      <c r="B61" s="18" t="n"/>
      <c r="C61" s="19" t="n"/>
      <c r="D61" s="17" t="n"/>
      <c r="E61" s="20" t="n"/>
      <c r="F61" s="18" t="n"/>
    </row>
    <row r="62">
      <c r="A62" s="17" t="n"/>
      <c r="B62" s="18" t="n"/>
      <c r="C62" s="19" t="n"/>
      <c r="D62" s="17" t="n"/>
      <c r="E62" s="20" t="n"/>
      <c r="F62" s="18" t="n"/>
    </row>
    <row r="63">
      <c r="A63" s="17" t="n"/>
      <c r="B63" s="18" t="n"/>
      <c r="C63" s="19" t="n"/>
      <c r="D63" s="17" t="n"/>
      <c r="E63" s="20" t="n"/>
      <c r="F63" s="18" t="n"/>
    </row>
    <row r="64">
      <c r="A64" s="17" t="n"/>
      <c r="B64" s="18" t="n"/>
      <c r="C64" s="19" t="n"/>
      <c r="D64" s="17" t="n"/>
      <c r="E64" s="20" t="n"/>
      <c r="F64" s="18" t="n"/>
    </row>
    <row r="65">
      <c r="A65" s="17" t="n"/>
      <c r="B65" s="18" t="n"/>
      <c r="C65" s="19" t="n"/>
      <c r="D65" s="17" t="n"/>
      <c r="E65" s="20" t="n"/>
      <c r="F65" s="18" t="n"/>
    </row>
    <row r="66">
      <c r="A66" s="17" t="n"/>
      <c r="B66" s="18" t="n"/>
      <c r="C66" s="19" t="n"/>
      <c r="D66" s="17" t="n"/>
      <c r="E66" s="20" t="n"/>
      <c r="F66" s="18" t="n"/>
    </row>
    <row r="67">
      <c r="A67" s="17" t="n"/>
      <c r="B67" s="18" t="n"/>
      <c r="C67" s="19" t="n"/>
      <c r="D67" s="17" t="n"/>
      <c r="E67" s="20" t="n"/>
      <c r="F67" s="18" t="n"/>
    </row>
    <row r="68">
      <c r="A68" s="17" t="n"/>
      <c r="B68" s="18" t="n"/>
      <c r="C68" s="19" t="n"/>
      <c r="D68" s="17" t="n"/>
      <c r="E68" s="20" t="n"/>
      <c r="F68" s="18" t="n"/>
    </row>
    <row r="69">
      <c r="A69" s="17" t="n"/>
      <c r="B69" s="18" t="n"/>
      <c r="C69" s="19" t="n"/>
      <c r="D69" s="17" t="n"/>
      <c r="E69" s="20" t="n"/>
      <c r="F69" s="18" t="n"/>
    </row>
    <row r="70">
      <c r="A70" s="17" t="n"/>
      <c r="B70" s="18" t="n"/>
      <c r="C70" s="19" t="n"/>
      <c r="D70" s="17" t="n"/>
      <c r="E70" s="20" t="n"/>
      <c r="F70" s="18" t="n"/>
    </row>
    <row r="71">
      <c r="A71" s="17" t="n"/>
      <c r="B71" s="18" t="n"/>
      <c r="C71" s="19" t="n"/>
      <c r="D71" s="17" t="n"/>
      <c r="E71" s="20" t="n"/>
      <c r="F71" s="18" t="n"/>
    </row>
    <row r="72">
      <c r="A72" s="17" t="n"/>
      <c r="B72" s="18" t="n"/>
      <c r="C72" s="19" t="n"/>
      <c r="D72" s="17" t="n"/>
      <c r="E72" s="20" t="n"/>
      <c r="F72" s="18" t="n"/>
    </row>
    <row r="73">
      <c r="A73" s="17" t="n"/>
      <c r="B73" s="18" t="n"/>
      <c r="C73" s="19" t="n"/>
      <c r="D73" s="17" t="n"/>
      <c r="E73" s="20" t="n"/>
      <c r="F73" s="18" t="n"/>
    </row>
    <row r="74">
      <c r="A74" s="17" t="n"/>
      <c r="B74" s="18" t="n"/>
      <c r="C74" s="19" t="n"/>
      <c r="D74" s="17" t="n"/>
      <c r="E74" s="20" t="n"/>
      <c r="F74" s="18" t="n"/>
    </row>
    <row r="75">
      <c r="A75" s="17" t="n"/>
      <c r="B75" s="18" t="n"/>
      <c r="C75" s="19" t="n"/>
      <c r="D75" s="17" t="n"/>
      <c r="E75" s="20" t="n"/>
      <c r="F75" s="18" t="n"/>
    </row>
    <row r="76">
      <c r="A76" s="17" t="n"/>
      <c r="B76" s="18" t="n"/>
      <c r="C76" s="19" t="n"/>
      <c r="D76" s="17" t="n"/>
      <c r="E76" s="20" t="n"/>
      <c r="F76" s="18" t="n"/>
    </row>
    <row r="77">
      <c r="A77" s="17" t="n"/>
      <c r="B77" s="18" t="n"/>
      <c r="C77" s="19" t="n"/>
      <c r="D77" s="17" t="n"/>
      <c r="E77" s="20" t="n"/>
      <c r="F77" s="18" t="n"/>
    </row>
    <row r="78">
      <c r="A78" s="17" t="n"/>
      <c r="B78" s="18" t="n"/>
      <c r="C78" s="19" t="n"/>
      <c r="D78" s="17" t="n"/>
      <c r="E78" s="20" t="n"/>
      <c r="F78" s="18" t="n"/>
    </row>
    <row r="79">
      <c r="A79" s="17" t="n"/>
      <c r="B79" s="18" t="n"/>
      <c r="C79" s="19" t="n"/>
      <c r="D79" s="17" t="n"/>
      <c r="E79" s="20" t="n"/>
      <c r="F79" s="18" t="n"/>
    </row>
    <row r="80">
      <c r="A80" s="17" t="n"/>
      <c r="B80" s="18" t="n"/>
      <c r="C80" s="19" t="n"/>
      <c r="D80" s="17" t="n"/>
      <c r="E80" s="20" t="n"/>
      <c r="F80" s="18" t="n"/>
    </row>
    <row r="81">
      <c r="A81" s="17" t="n"/>
      <c r="B81" s="18" t="n"/>
      <c r="C81" s="19" t="n"/>
      <c r="D81" s="17" t="n"/>
      <c r="E81" s="20" t="n"/>
      <c r="F81" s="18" t="n"/>
    </row>
    <row r="82">
      <c r="A82" s="17" t="n"/>
      <c r="B82" s="18" t="n"/>
      <c r="C82" s="19" t="n"/>
      <c r="D82" s="17" t="n"/>
      <c r="E82" s="20" t="n"/>
      <c r="F82" s="18" t="n"/>
    </row>
    <row r="83">
      <c r="A83" s="17" t="n"/>
      <c r="B83" s="18" t="n"/>
      <c r="C83" s="19" t="n"/>
      <c r="D83" s="17" t="n"/>
      <c r="E83" s="20" t="n"/>
      <c r="F83" s="18" t="n"/>
    </row>
    <row r="84">
      <c r="A84" s="17" t="n"/>
      <c r="B84" s="18" t="n"/>
      <c r="C84" s="19" t="n"/>
      <c r="D84" s="17" t="n"/>
      <c r="E84" s="20" t="n"/>
      <c r="F84" s="18" t="n"/>
    </row>
    <row r="85">
      <c r="A85" s="17" t="n"/>
      <c r="B85" s="18" t="n"/>
      <c r="C85" s="19" t="n"/>
      <c r="D85" s="17" t="n"/>
      <c r="E85" s="20" t="n"/>
      <c r="F85" s="18" t="n"/>
    </row>
    <row r="86">
      <c r="A86" s="17" t="n"/>
      <c r="B86" s="18" t="n"/>
      <c r="C86" s="19" t="n"/>
      <c r="D86" s="17" t="n"/>
      <c r="E86" s="20" t="n"/>
      <c r="F86" s="18" t="n"/>
    </row>
    <row r="87">
      <c r="A87" s="17" t="n"/>
      <c r="B87" s="18" t="n"/>
      <c r="C87" s="19" t="n"/>
      <c r="D87" s="17" t="n"/>
      <c r="E87" s="20" t="n"/>
      <c r="F87" s="18" t="n"/>
    </row>
    <row r="88">
      <c r="A88" s="17" t="n"/>
      <c r="B88" s="18" t="n"/>
      <c r="C88" s="19" t="n"/>
      <c r="D88" s="17" t="n"/>
      <c r="E88" s="20" t="n"/>
      <c r="F88" s="18" t="n"/>
    </row>
    <row r="89">
      <c r="A89" s="17" t="n"/>
      <c r="B89" s="18" t="n"/>
      <c r="C89" s="19" t="n"/>
      <c r="D89" s="17" t="n"/>
      <c r="E89" s="20" t="n"/>
      <c r="F89" s="18" t="n"/>
    </row>
    <row r="90">
      <c r="A90" s="17" t="n"/>
      <c r="B90" s="18" t="n"/>
      <c r="C90" s="19" t="n"/>
      <c r="D90" s="17" t="n"/>
      <c r="E90" s="20" t="n"/>
      <c r="F90" s="18" t="n"/>
    </row>
    <row r="91">
      <c r="A91" s="17" t="n"/>
      <c r="B91" s="18" t="n"/>
      <c r="C91" s="19" t="n"/>
      <c r="D91" s="17" t="n"/>
      <c r="E91" s="20" t="n"/>
      <c r="F91" s="18" t="n"/>
    </row>
    <row r="92">
      <c r="A92" s="17" t="n"/>
      <c r="B92" s="18" t="n"/>
      <c r="C92" s="19" t="n"/>
      <c r="D92" s="17" t="n"/>
      <c r="E92" s="20" t="n"/>
      <c r="F92" s="18" t="n"/>
    </row>
    <row r="93">
      <c r="A93" s="17" t="n"/>
      <c r="B93" s="18" t="n"/>
      <c r="C93" s="19" t="n"/>
      <c r="D93" s="17" t="n"/>
      <c r="E93" s="20" t="n"/>
      <c r="F93" s="18" t="n"/>
    </row>
    <row r="94">
      <c r="A94" s="17" t="n"/>
      <c r="B94" s="18" t="n"/>
      <c r="C94" s="19" t="n"/>
      <c r="D94" s="17" t="n"/>
      <c r="E94" s="20" t="n"/>
      <c r="F94" s="18" t="n"/>
    </row>
    <row r="95">
      <c r="A95" s="17" t="n"/>
      <c r="B95" s="18" t="n"/>
      <c r="C95" s="19" t="n"/>
      <c r="D95" s="17" t="n"/>
      <c r="E95" s="20" t="n"/>
      <c r="F95" s="18" t="n"/>
    </row>
    <row r="96">
      <c r="A96" s="17" t="n"/>
      <c r="B96" s="18" t="n"/>
      <c r="C96" s="19" t="n"/>
      <c r="D96" s="17" t="n"/>
      <c r="E96" s="20" t="n"/>
      <c r="F96" s="18" t="n"/>
    </row>
    <row r="97">
      <c r="A97" s="17" t="n"/>
      <c r="B97" s="18" t="n"/>
      <c r="C97" s="19" t="n"/>
      <c r="D97" s="17" t="n"/>
      <c r="E97" s="20" t="n"/>
      <c r="F97" s="18" t="n"/>
    </row>
    <row r="98">
      <c r="A98" s="17" t="n"/>
      <c r="B98" s="18" t="n"/>
      <c r="C98" s="19" t="n"/>
      <c r="D98" s="17" t="n"/>
      <c r="E98" s="20" t="n"/>
      <c r="F98" s="18" t="n"/>
    </row>
    <row r="99">
      <c r="A99" s="17" t="n"/>
      <c r="B99" s="18" t="n"/>
      <c r="C99" s="19" t="n"/>
      <c r="D99" s="17" t="n"/>
      <c r="E99" s="20" t="n"/>
      <c r="F99" s="18" t="n"/>
    </row>
    <row r="100">
      <c r="A100" s="17" t="n"/>
      <c r="B100" s="18" t="n"/>
      <c r="C100" s="19" t="n"/>
      <c r="D100" s="17" t="n"/>
      <c r="E100" s="20" t="n"/>
      <c r="F100" s="18" t="n"/>
    </row>
    <row r="101">
      <c r="A101" s="17" t="n"/>
      <c r="B101" s="18" t="n"/>
      <c r="C101" s="19" t="n"/>
      <c r="D101" s="17" t="n"/>
      <c r="E101" s="20" t="n"/>
      <c r="F101" s="18" t="n"/>
    </row>
    <row r="102">
      <c r="A102" s="17" t="n"/>
      <c r="B102" s="18" t="n"/>
      <c r="C102" s="19" t="n"/>
      <c r="D102" s="17" t="n"/>
      <c r="E102" s="20" t="n"/>
      <c r="F102" s="18" t="n"/>
    </row>
    <row r="103">
      <c r="A103" s="17" t="n"/>
      <c r="B103" s="18" t="n"/>
      <c r="C103" s="19" t="n"/>
      <c r="D103" s="17" t="n"/>
      <c r="E103" s="20" t="n"/>
      <c r="F103" s="18" t="n"/>
    </row>
    <row r="104">
      <c r="A104" s="17" t="n"/>
      <c r="B104" s="18" t="n"/>
      <c r="C104" s="19" t="n"/>
      <c r="D104" s="17" t="n"/>
      <c r="E104" s="20" t="n"/>
      <c r="F104" s="18" t="n"/>
    </row>
    <row r="106">
      <c r="A106" s="8" t="inlineStr">
        <is>
          <t>Narration tokens: {DDMMYY} {DDMMYYYY} {DD} {MM} {YY} {YYYY} are replaced with the value date. Narration is capped at 35 characters after substitution.</t>
        </is>
      </c>
    </row>
  </sheetData>
  <mergeCells count="4">
    <mergeCell ref="A3:F3"/>
    <mergeCell ref="A2:F2"/>
    <mergeCell ref="A1:F1"/>
    <mergeCell ref="A106:F106"/>
  </mergeCells>
  <conditionalFormatting sqref="A3:F3">
    <cfRule type="expression" priority="1" dxfId="0">
      <formula>$I$3&lt;&gt;0</formula>
    </cfRule>
    <cfRule type="expression" priority="2" dxfId="1">
      <formula>$I$3=0</formula>
    </cfRule>
  </conditionalFormatting>
  <dataValidations count="3">
    <dataValidation sqref="A5:A104" showDropDown="0" showInputMessage="0" showErrorMessage="1" allowBlank="1" errorTitle="Include?" error="Choose Yes to put this row in today's file, or No to leave it out." type="list">
      <formula1>"Yes,No"</formula1>
    </dataValidation>
    <dataValidation sqref="D5:D104" showDropDown="0" showInputMessage="0" showErrorMessage="1" allowBlank="1" errorTitle="Dr/Cr" error="Enter D for a debit or C for a credit." type="list">
      <formula1>"D,C"</formula1>
    </dataValidation>
    <dataValidation sqref="E5:E104" showDropDown="0" showInputMessage="0" showErrorMessage="1" allowBlank="1" errorTitle="Amount" error="Enter the amount in rupees, for example 4740.50." type="decimal" operator="greaterThan">
      <formula1>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Config">
    <outlinePr summaryBelow="1" summaryRight="1"/>
    <pageSetUpPr/>
  </sheetPr>
  <dimension ref="A1:D8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36" customWidth="1" min="2" max="2"/>
    <col width="32" customWidth="1" min="3" max="3"/>
    <col width="62" customWidth="1" min="4" max="4"/>
  </cols>
  <sheetData>
    <row r="1" ht="30" customHeight="1">
      <c r="A1" s="1" t="inlineStr">
        <is>
          <t xml:space="preserve">   CONFIG</t>
        </is>
      </c>
      <c r="B1" s="2" t="n"/>
      <c r="C1" s="2" t="n"/>
      <c r="D1" s="2" t="n"/>
    </row>
    <row r="2" ht="16" customHeight="1">
      <c r="A2" s="3" t="inlineStr">
        <is>
          <t xml:space="preserve">   Settings that rarely change. The daily inputs live on the Dashboard.</t>
        </is>
      </c>
      <c r="B2" s="2" t="n"/>
      <c r="C2" s="2" t="n"/>
      <c r="D2" s="2" t="n"/>
    </row>
    <row r="4">
      <c r="B4" s="21" t="inlineStr">
        <is>
          <t>Setting</t>
        </is>
      </c>
      <c r="C4" s="21" t="inlineStr">
        <is>
          <t>Value</t>
        </is>
      </c>
      <c r="D4" s="21" t="inlineStr">
        <is>
          <t>What it does</t>
        </is>
      </c>
    </row>
    <row r="5" ht="30" customHeight="1">
      <c r="B5" s="22" t="inlineStr">
        <is>
          <t>File name pattern</t>
        </is>
      </c>
      <c r="C5" s="11" t="inlineStr">
        <is>
          <t>PROPELG_TTUM_{DDMMYYYY}.txt</t>
        </is>
      </c>
      <c r="D5" s="23" t="inlineStr">
        <is>
          <t>Tokens are replaced with the file-name date shown on the Dashboard.</t>
        </is>
      </c>
    </row>
    <row r="6" ht="30" customHeight="1">
      <c r="B6" s="22" t="inlineStr">
        <is>
          <t>File-name date offset (days)</t>
        </is>
      </c>
      <c r="C6" s="11" t="n">
        <v>1</v>
      </c>
      <c r="D6" s="23" t="inlineStr">
        <is>
          <t>The bank sample is dated one day after the value date it carries, so this is 1. Set 0 to use the value date itself.</t>
        </is>
      </c>
    </row>
    <row r="7" ht="30" customHeight="1">
      <c r="B7" s="22" t="inlineStr">
        <is>
          <t>Block generation when out of balance</t>
        </is>
      </c>
      <c r="C7" s="11" t="inlineStr">
        <is>
          <t>Yes</t>
        </is>
      </c>
      <c r="D7" s="23" t="inlineStr">
        <is>
          <t>Yes stops the file when total debit does not equal total credit. No asks first and lets you continue.</t>
        </is>
      </c>
    </row>
    <row r="8" ht="30" customHeight="1">
      <c r="B8" s="22" t="inlineStr">
        <is>
          <t>Write a line break after the last record</t>
        </is>
      </c>
      <c r="C8" s="11" t="inlineStr">
        <is>
          <t>No</t>
        </is>
      </c>
      <c r="D8" s="23" t="inlineStr">
        <is>
          <t>No matches the bank's sample file, which ends immediately after the last record.</t>
        </is>
      </c>
    </row>
  </sheetData>
  <mergeCells count="2">
    <mergeCell ref="A1:D1"/>
    <mergeCell ref="A2:D2"/>
  </mergeCells>
  <dataValidations count="1">
    <dataValidation sqref="C7:C8" showDropDown="0" showInputMessage="0" showErrorMessage="0" allowBlank="0" type="list">
      <formula1>"Yes,No"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Log">
    <outlinePr summaryBelow="1" summaryRight="1"/>
    <pageSetUpPr/>
  </sheetPr>
  <dimension ref="A1:J3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9" customWidth="1" min="1" max="1"/>
    <col width="14" customWidth="1" min="2" max="2"/>
    <col width="14" customWidth="1" min="3" max="3"/>
    <col width="30" customWidth="1" min="4" max="4"/>
    <col width="9" customWidth="1" min="5" max="5"/>
    <col width="14" customWidth="1" min="6" max="6"/>
    <col width="14" customWidth="1" min="7" max="7"/>
    <col width="16" customWidth="1" min="8" max="8"/>
    <col width="18" customWidth="1" min="9" max="9"/>
    <col width="60" customWidth="1" min="10" max="10"/>
  </cols>
  <sheetData>
    <row r="1" ht="30" customHeight="1">
      <c r="A1" s="1" t="inlineStr">
        <is>
          <t xml:space="preserve">   GENERATION LOG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</row>
    <row r="2" ht="16" customHeight="1">
      <c r="A2" s="3" t="inlineStr">
        <is>
          <t xml:space="preserve">   One row is added every time a file is written.</t>
        </is>
      </c>
      <c r="B2" s="2" t="n"/>
      <c r="C2" s="2" t="n"/>
      <c r="D2" s="2" t="n"/>
      <c r="E2" s="2" t="n"/>
      <c r="F2" s="2" t="n"/>
      <c r="G2" s="2" t="n"/>
      <c r="H2" s="2" t="n"/>
      <c r="I2" s="2" t="n"/>
      <c r="J2" s="2" t="n"/>
    </row>
    <row r="3">
      <c r="A3" s="21" t="inlineStr">
        <is>
          <t>Generated at</t>
        </is>
      </c>
      <c r="B3" s="21" t="inlineStr">
        <is>
          <t>Value date</t>
        </is>
      </c>
      <c r="C3" s="21" t="inlineStr">
        <is>
          <t>File date</t>
        </is>
      </c>
      <c r="D3" s="21" t="inlineStr">
        <is>
          <t>File name</t>
        </is>
      </c>
      <c r="E3" s="21" t="inlineStr">
        <is>
          <t>Records</t>
        </is>
      </c>
      <c r="F3" s="21" t="inlineStr">
        <is>
          <t>Total debit</t>
        </is>
      </c>
      <c r="G3" s="21" t="inlineStr">
        <is>
          <t>Total credit</t>
        </is>
      </c>
      <c r="H3" s="21" t="inlineStr">
        <is>
          <t>Balance</t>
        </is>
      </c>
      <c r="I3" s="21" t="inlineStr">
        <is>
          <t>User</t>
        </is>
      </c>
      <c r="J3" s="21" t="inlineStr">
        <is>
          <t>Full path</t>
        </is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Layout">
    <outlinePr summaryBelow="1" summaryRight="1"/>
    <pageSetUpPr/>
  </sheetPr>
  <dimension ref="A1:F25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8" customWidth="1" min="2" max="2"/>
    <col width="14" customWidth="1" min="3" max="3"/>
    <col width="24" customWidth="1" min="4" max="4"/>
    <col width="10" customWidth="1" min="5" max="5"/>
    <col width="60" customWidth="1" min="6" max="6"/>
  </cols>
  <sheetData>
    <row r="1" ht="30" customHeight="1">
      <c r="A1" s="1" t="inlineStr">
        <is>
          <t xml:space="preserve">   RECORD LAYOUT</t>
        </is>
      </c>
      <c r="B1" s="2" t="n"/>
      <c r="C1" s="2" t="n"/>
      <c r="D1" s="2" t="n"/>
      <c r="E1" s="2" t="n"/>
      <c r="F1" s="2" t="n"/>
    </row>
    <row r="2" ht="16" customHeight="1">
      <c r="A2" s="3" t="inlineStr">
        <is>
          <t xml:space="preserve">   Reference only - the macro builds every record to this layout.</t>
        </is>
      </c>
      <c r="B2" s="2" t="n"/>
      <c r="C2" s="2" t="n"/>
      <c r="D2" s="2" t="n"/>
      <c r="E2" s="2" t="n"/>
      <c r="F2" s="2" t="n"/>
    </row>
    <row r="4">
      <c r="B4" s="21" t="inlineStr">
        <is>
          <t>#</t>
        </is>
      </c>
      <c r="C4" s="21" t="inlineStr">
        <is>
          <t>Columns</t>
        </is>
      </c>
      <c r="D4" s="21" t="inlineStr">
        <is>
          <t>Field</t>
        </is>
      </c>
      <c r="E4" s="21" t="inlineStr">
        <is>
          <t>Length</t>
        </is>
      </c>
      <c r="F4" s="21" t="inlineStr">
        <is>
          <t>Content</t>
        </is>
      </c>
    </row>
    <row r="5">
      <c r="B5" s="24" t="n">
        <v>1</v>
      </c>
      <c r="C5" s="24" t="inlineStr">
        <is>
          <t>1-14</t>
        </is>
      </c>
      <c r="D5" s="24" t="inlineStr">
        <is>
          <t>Account number</t>
        </is>
      </c>
      <c r="E5" s="24" t="n">
        <v>14</v>
      </c>
      <c r="F5" s="25" t="inlineStr">
        <is>
          <t>Left justified, padded on the right with spaces.</t>
        </is>
      </c>
    </row>
    <row r="6">
      <c r="B6" s="24" t="n">
        <v>2</v>
      </c>
      <c r="C6" s="24" t="inlineStr">
        <is>
          <t>15-22</t>
        </is>
      </c>
      <c r="D6" s="24" t="inlineStr">
        <is>
          <t>Value date</t>
        </is>
      </c>
      <c r="E6" s="24" t="n">
        <v>8</v>
      </c>
      <c r="F6" s="25" t="inlineStr">
        <is>
          <t>DDMMYYYY.</t>
        </is>
      </c>
    </row>
    <row r="7">
      <c r="B7" s="24" t="n">
        <v>3</v>
      </c>
      <c r="C7" s="24" t="inlineStr">
        <is>
          <t>23-45</t>
        </is>
      </c>
      <c r="D7" s="24" t="inlineStr">
        <is>
          <t>Amount</t>
        </is>
      </c>
      <c r="E7" s="24" t="n">
        <v>23</v>
      </c>
      <c r="F7" s="25" t="inlineStr">
        <is>
          <t>Whole paise, padded on the left with zeros. 20000 means 200.00.</t>
        </is>
      </c>
    </row>
    <row r="8">
      <c r="B8" s="24" t="n">
        <v>4</v>
      </c>
      <c r="C8" s="24" t="inlineStr">
        <is>
          <t>46</t>
        </is>
      </c>
      <c r="D8" s="24" t="inlineStr">
        <is>
          <t>Transaction type</t>
        </is>
      </c>
      <c r="E8" s="24" t="n">
        <v>1</v>
      </c>
      <c r="F8" s="25" t="inlineStr">
        <is>
          <t>D for debit, C for credit.</t>
        </is>
      </c>
    </row>
    <row r="9">
      <c r="B9" s="24" t="n">
        <v>5</v>
      </c>
      <c r="C9" s="24" t="inlineStr">
        <is>
          <t>47-55</t>
        </is>
      </c>
      <c r="D9" s="24" t="inlineStr">
        <is>
          <t>Value date</t>
        </is>
      </c>
      <c r="E9" s="24" t="n">
        <v>9</v>
      </c>
      <c r="F9" s="25" t="inlineStr">
        <is>
          <t>The same date again as 0 + DDMMYYYY.</t>
        </is>
      </c>
    </row>
    <row r="10">
      <c r="B10" s="24" t="n">
        <v>6</v>
      </c>
      <c r="C10" s="24" t="inlineStr">
        <is>
          <t>56-81</t>
        </is>
      </c>
      <c r="D10" s="24" t="inlineStr">
        <is>
          <t>Filler</t>
        </is>
      </c>
      <c r="E10" s="24" t="n">
        <v>26</v>
      </c>
      <c r="F10" s="25" t="inlineStr">
        <is>
          <t>Spaces.</t>
        </is>
      </c>
    </row>
    <row r="11">
      <c r="B11" s="24" t="n">
        <v>7</v>
      </c>
      <c r="C11" s="24" t="inlineStr">
        <is>
          <t>82-116</t>
        </is>
      </c>
      <c r="D11" s="24" t="inlineStr">
        <is>
          <t>Narration</t>
        </is>
      </c>
      <c r="E11" s="24" t="n">
        <v>35</v>
      </c>
      <c r="F11" s="25" t="inlineStr">
        <is>
          <t>Left justified, padded on the right with spaces.</t>
        </is>
      </c>
    </row>
    <row r="12">
      <c r="B12" s="24" t="n">
        <v>8</v>
      </c>
      <c r="C12" s="24" t="inlineStr">
        <is>
          <t>117-186</t>
        </is>
      </c>
      <c r="D12" s="24" t="inlineStr">
        <is>
          <t>Filler</t>
        </is>
      </c>
      <c r="E12" s="24" t="n">
        <v>70</v>
      </c>
      <c r="F12" s="25" t="inlineStr">
        <is>
          <t>Spaces.</t>
        </is>
      </c>
    </row>
    <row r="13">
      <c r="D13" s="26" t="inlineStr">
        <is>
          <t>Total</t>
        </is>
      </c>
      <c r="E13" s="26" t="n">
        <v>186</v>
      </c>
      <c r="F13" s="8" t="inlineStr">
        <is>
          <t>Records are separated by CR LF.</t>
        </is>
      </c>
    </row>
    <row r="15">
      <c r="B15" s="12" t="inlineStr">
        <is>
          <t>Worked example - the bank's own file for value date 15-07-2026</t>
        </is>
      </c>
    </row>
    <row r="16">
      <c r="B16" s="8" t="inlineStr">
        <is>
          <t>Amounts below are that day's figures; each line is exactly 186 characters.</t>
        </is>
      </c>
    </row>
    <row r="17">
      <c r="B17" s="27" t="inlineStr">
        <is>
          <t xml:space="preserve">009935625117311507202600000000000000000020000D015072026                          PROPELG VI settlement 150726                                                                             </t>
        </is>
      </c>
    </row>
    <row r="18">
      <c r="B18" s="27" t="inlineStr">
        <is>
          <t xml:space="preserve">009935625117321507202600000000000000000030000D015072026                          PROPELG MC settlement 150726                                                                             </t>
        </is>
      </c>
    </row>
    <row r="19">
      <c r="B19" s="27" t="inlineStr">
        <is>
          <t xml:space="preserve">009935646101191507202600000000000000000001000C015072026                          PROPELG MC comm recd 150726                                                                              </t>
        </is>
      </c>
    </row>
    <row r="20">
      <c r="B20" s="27" t="inlineStr">
        <is>
          <t xml:space="preserve">009935646101221507202600000000000000000001000C015072026                          PROPELG VI comm recd 150726                                                                              </t>
        </is>
      </c>
    </row>
    <row r="21">
      <c r="B21" s="27" t="inlineStr">
        <is>
          <t xml:space="preserve">009935646101191507202600000000000000000000200C015072026                          PROPELG MC GST comm recd 150726                                                                          </t>
        </is>
      </c>
    </row>
    <row r="22">
      <c r="B22" s="27" t="inlineStr">
        <is>
          <t xml:space="preserve">009935646101221507202600000000000000000000200C015072026                          PROPELG VI GST comm recd 150726                                                                          </t>
        </is>
      </c>
    </row>
    <row r="23">
      <c r="B23" s="27" t="inlineStr">
        <is>
          <t xml:space="preserve">009935646101191507202600000000000000000000100C015072026                          PROPELG MC Non GST comm recd 150726                                                                      </t>
        </is>
      </c>
    </row>
    <row r="24">
      <c r="B24" s="27" t="inlineStr">
        <is>
          <t xml:space="preserve">009935646101221507202600000000000000000000100C015072026                          PROPELG VI Non GST comm recd 150726                                                                      </t>
        </is>
      </c>
    </row>
    <row r="25">
      <c r="B25" s="27" t="inlineStr">
        <is>
          <t xml:space="preserve">200999103427  1507202600000000000000000047400C015072026                          PROPELG-TXN Prp India 150726 150726                                                                      </t>
        </is>
      </c>
    </row>
  </sheetData>
  <mergeCells count="2">
    <mergeCell ref="A2:F2"/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2026-09-03T10:09:34Z</dcterms:created>
  <dcterms:modified xsi:type="dcterms:W3CDTF">2026-09-03T10:09:34Z</dcterms:modified>
</cp:coreProperties>
</file>